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drawings/drawing4.xml" ContentType="application/vnd.openxmlformats-officedocument.drawing+xml"/>
  <Override PartName="/xl/ctrlProps/ctrlProp6.xml" ContentType="application/vnd.ms-excel.controlproperties+xml"/>
  <Override PartName="/xl/drawings/drawing5.xml" ContentType="application/vnd.openxmlformats-officedocument.drawing+xml"/>
  <Override PartName="/xl/ctrlProps/ctrlProp7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431" codeName="{B1203076-2D4D-A25B-A398-973B695A806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mber van Oel\Documents\SEPAM\Thesis - ABM\amber 2.0\model\"/>
    </mc:Choice>
  </mc:AlternateContent>
  <bookViews>
    <workbookView xWindow="0" yWindow="0" windowWidth="15360" windowHeight="6930" activeTab="8"/>
  </bookViews>
  <sheets>
    <sheet name="Convert to csv" sheetId="5" r:id="rId1"/>
    <sheet name="DataAreas - analysis" sheetId="6" r:id="rId2"/>
    <sheet name="DataTerminals - current" sheetId="13" r:id="rId3"/>
    <sheet name="DataTerminals - analysis" sheetId="1" r:id="rId4"/>
    <sheet name="NewProject - Land issue" sheetId="2" r:id="rId5"/>
    <sheet name="xx" sheetId="8" state="hidden" r:id="rId6"/>
    <sheet name="New project - commercial" sheetId="9" r:id="rId7"/>
    <sheet name="NewProject - Commercial action" sheetId="7" state="hidden" r:id="rId8"/>
    <sheet name="New project - infrastructure" sheetId="4" r:id="rId9"/>
    <sheet name="Auxiliary sheet" sheetId="3" r:id="rId10"/>
    <sheet name="CSVSheet" sheetId="11" r:id="rId11"/>
  </sheets>
  <calcPr calcId="162913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1" i="2" l="1"/>
  <c r="D8" i="2" l="1"/>
  <c r="D7" i="2"/>
  <c r="E16" i="2" l="1"/>
  <c r="I5" i="9" l="1"/>
  <c r="I18" i="9"/>
  <c r="I19" i="9"/>
  <c r="I20" i="9"/>
  <c r="I21" i="9"/>
  <c r="I17" i="9"/>
  <c r="I11" i="9"/>
  <c r="I12" i="9"/>
  <c r="I13" i="9"/>
  <c r="I6" i="9"/>
  <c r="I7" i="9"/>
  <c r="I8" i="9"/>
  <c r="I9" i="9"/>
  <c r="I10" i="9"/>
  <c r="H7" i="7"/>
  <c r="D8" i="7"/>
  <c r="L8" i="7"/>
</calcChain>
</file>

<file path=xl/sharedStrings.xml><?xml version="1.0" encoding="utf-8"?>
<sst xmlns="http://schemas.openxmlformats.org/spreadsheetml/2006/main" count="683" uniqueCount="207">
  <si>
    <t>Terminal 1</t>
  </si>
  <si>
    <t>Terminal 2</t>
  </si>
  <si>
    <t>Name</t>
  </si>
  <si>
    <t>Area</t>
  </si>
  <si>
    <t>EP</t>
  </si>
  <si>
    <t>Cargo type</t>
  </si>
  <si>
    <t>x</t>
  </si>
  <si>
    <t>y</t>
  </si>
  <si>
    <t>Max overslag/capacity</t>
  </si>
  <si>
    <t>Truck mod spl</t>
  </si>
  <si>
    <t>Train mod spl</t>
  </si>
  <si>
    <t>Barge mod spl</t>
  </si>
  <si>
    <t>Truck cap</t>
  </si>
  <si>
    <t>Train cap</t>
  </si>
  <si>
    <t>Barge cap</t>
  </si>
  <si>
    <t>Construction year</t>
  </si>
  <si>
    <t>Construction capacity</t>
  </si>
  <si>
    <t>EMO</t>
  </si>
  <si>
    <t>Maasvlakte</t>
  </si>
  <si>
    <t>Engie</t>
  </si>
  <si>
    <t>0.2</t>
  </si>
  <si>
    <t>Electrabel Missouriweg Maasvlakte</t>
  </si>
  <si>
    <t>HBR Maasvlakte 2</t>
  </si>
  <si>
    <t>EECV</t>
  </si>
  <si>
    <t>Europoort</t>
  </si>
  <si>
    <t>ADM Europoort</t>
  </si>
  <si>
    <t>Welplaat</t>
  </si>
  <si>
    <t>0.1</t>
  </si>
  <si>
    <t>EBS Europoort</t>
  </si>
  <si>
    <t>HBR Europrt 7 Petrh</t>
  </si>
  <si>
    <t>Boei 81</t>
  </si>
  <si>
    <t>Palen 80</t>
  </si>
  <si>
    <t>Palen 78</t>
  </si>
  <si>
    <t>RBT</t>
  </si>
  <si>
    <t>Vlaardingen</t>
  </si>
  <si>
    <t>EBS Botlek</t>
  </si>
  <si>
    <t>Botlek</t>
  </si>
  <si>
    <t>0.3</t>
  </si>
  <si>
    <t>Borax</t>
  </si>
  <si>
    <t>E.P. Stevedoring</t>
  </si>
  <si>
    <t>Jewo</t>
  </si>
  <si>
    <t>Exploitatie Maatschappij Recycling Kombinatie REKO</t>
  </si>
  <si>
    <t>Boei 62</t>
  </si>
  <si>
    <t>Boei 66</t>
  </si>
  <si>
    <t>Boei (29)</t>
  </si>
  <si>
    <t>Waal- Eemhaven</t>
  </si>
  <si>
    <t>Boei 26</t>
  </si>
  <si>
    <t>Boei 23</t>
  </si>
  <si>
    <t>Boei 34</t>
  </si>
  <si>
    <t>Boei 27</t>
  </si>
  <si>
    <t>Boei 21</t>
  </si>
  <si>
    <t>Van Uden (Gusto)</t>
  </si>
  <si>
    <t>Merwe- en Vierhaven</t>
  </si>
  <si>
    <t>Transterminal Dordrecht</t>
  </si>
  <si>
    <t>Dordrecht</t>
  </si>
  <si>
    <t>ZHD</t>
  </si>
  <si>
    <t>Dummy Ijzererts &amp; schroot</t>
  </si>
  <si>
    <t>Dordrecht overig</t>
  </si>
  <si>
    <t>Terminal 3</t>
  </si>
  <si>
    <t>Terminal 4</t>
  </si>
  <si>
    <t>Terminal 5</t>
  </si>
  <si>
    <t>Terminal 6</t>
  </si>
  <si>
    <t>Terminal 7</t>
  </si>
  <si>
    <t>Terminal 8</t>
  </si>
  <si>
    <t>Terminal 9</t>
  </si>
  <si>
    <t>Terminal 10</t>
  </si>
  <si>
    <t>Terminal 11</t>
  </si>
  <si>
    <t>Terminal 12</t>
  </si>
  <si>
    <t>Terminal 13</t>
  </si>
  <si>
    <t>Terminal 14</t>
  </si>
  <si>
    <t>Terminal 15</t>
  </si>
  <si>
    <t>Terminal 16</t>
  </si>
  <si>
    <t>Terminal 17</t>
  </si>
  <si>
    <t>Terminal 18</t>
  </si>
  <si>
    <t>Terminal 19</t>
  </si>
  <si>
    <t>Terminal 20</t>
  </si>
  <si>
    <t>Terminal 21</t>
  </si>
  <si>
    <t>Terminal 22</t>
  </si>
  <si>
    <t>Terminal 23</t>
  </si>
  <si>
    <t>Terminal 24</t>
  </si>
  <si>
    <t>Terminal 25</t>
  </si>
  <si>
    <t>Terminal 26</t>
  </si>
  <si>
    <t>Terminal 27</t>
  </si>
  <si>
    <t>Terminal 28</t>
  </si>
  <si>
    <t>Terminal 29</t>
  </si>
  <si>
    <t>Terminal 30</t>
  </si>
  <si>
    <t>Terminal name</t>
  </si>
  <si>
    <t>Closing existing terminal</t>
  </si>
  <si>
    <t>Expanding existing terminal</t>
  </si>
  <si>
    <t>New terminal</t>
  </si>
  <si>
    <t>Current capacity</t>
  </si>
  <si>
    <t>New capacity</t>
  </si>
  <si>
    <t>TYPE OF PROECT</t>
  </si>
  <si>
    <t>Areas</t>
  </si>
  <si>
    <t>Coal</t>
  </si>
  <si>
    <t>Cargo types</t>
  </si>
  <si>
    <t>Crude oil</t>
  </si>
  <si>
    <t>Mineral oil</t>
  </si>
  <si>
    <t>LNG</t>
  </si>
  <si>
    <t>Chemical oil</t>
  </si>
  <si>
    <t>Vegetable oil</t>
  </si>
  <si>
    <t>Agribulk</t>
  </si>
  <si>
    <t>Ore</t>
  </si>
  <si>
    <t>Dry biomass</t>
  </si>
  <si>
    <t>Other</t>
  </si>
  <si>
    <t>Container</t>
  </si>
  <si>
    <t>RoRo</t>
  </si>
  <si>
    <t>Closing year</t>
  </si>
  <si>
    <t>New cargo type</t>
  </si>
  <si>
    <t>Surface</t>
  </si>
  <si>
    <t>Int</t>
  </si>
  <si>
    <t>Str</t>
  </si>
  <si>
    <t>Data sheet name</t>
  </si>
  <si>
    <t>File name</t>
  </si>
  <si>
    <t>CO emission</t>
  </si>
  <si>
    <t>Area 2</t>
  </si>
  <si>
    <t>Area 1</t>
  </si>
  <si>
    <t>Area 3</t>
  </si>
  <si>
    <t>Area 4</t>
  </si>
  <si>
    <t>Area 5</t>
  </si>
  <si>
    <t>Area 6</t>
  </si>
  <si>
    <t>Port dues</t>
  </si>
  <si>
    <t>€/ton</t>
  </si>
  <si>
    <t>€/m2</t>
  </si>
  <si>
    <t>Discount rate</t>
  </si>
  <si>
    <t>Adjustment in indexation</t>
  </si>
  <si>
    <t>Current port dues</t>
  </si>
  <si>
    <t>New port dues</t>
  </si>
  <si>
    <t>Starting year commercial action</t>
  </si>
  <si>
    <t>Type of indexation</t>
  </si>
  <si>
    <t>Type of new projects - commercial actions</t>
  </si>
  <si>
    <t>Types of new projects - land issue</t>
  </si>
  <si>
    <t>Indexation</t>
  </si>
  <si>
    <t>Land renting</t>
  </si>
  <si>
    <t>Current indexation</t>
  </si>
  <si>
    <t>Land rentin</t>
  </si>
  <si>
    <t>New indexation</t>
  </si>
  <si>
    <t>Adjustment of port dues</t>
  </si>
  <si>
    <t>Adjustment in renting prices</t>
  </si>
  <si>
    <t>Current renting price</t>
  </si>
  <si>
    <t>New renting price</t>
  </si>
  <si>
    <t>Port dues - current</t>
  </si>
  <si>
    <t>Port dues - analysis</t>
  </si>
  <si>
    <t>Current</t>
  </si>
  <si>
    <t>Analysis</t>
  </si>
  <si>
    <t>Other financial values</t>
  </si>
  <si>
    <t>Project type</t>
  </si>
  <si>
    <t>TYPE OF PROjECT</t>
  </si>
  <si>
    <t>Project 1</t>
  </si>
  <si>
    <t>Project 2</t>
  </si>
  <si>
    <t>Project 3</t>
  </si>
  <si>
    <t>Type</t>
  </si>
  <si>
    <t>Type of new projects - infrastructure</t>
  </si>
  <si>
    <t>Road construction</t>
  </si>
  <si>
    <t>Rail construction</t>
  </si>
  <si>
    <t>Water way construction</t>
  </si>
  <si>
    <t>Expected added value to market share</t>
  </si>
  <si>
    <t>EP (%)</t>
  </si>
  <si>
    <t>Extra capacity</t>
  </si>
  <si>
    <t>Number of projects</t>
  </si>
  <si>
    <t>Construction costs</t>
  </si>
  <si>
    <t>Yearly costs</t>
  </si>
  <si>
    <t>DataTerminals1408</t>
  </si>
  <si>
    <t>Terminal X</t>
  </si>
  <si>
    <t xml:space="preserve"> </t>
  </si>
  <si>
    <t>Indexation - Land renting</t>
  </si>
  <si>
    <t>Indexation - Port dues</t>
  </si>
  <si>
    <t>Starting year</t>
  </si>
  <si>
    <t>Project x</t>
  </si>
  <si>
    <t>Terminal 0</t>
  </si>
  <si>
    <t>Area 0</t>
  </si>
  <si>
    <t>Terminal 31</t>
  </si>
  <si>
    <t>Nothing</t>
  </si>
  <si>
    <t>10 5 "EECV" "Europoort" 928367 278510000 0.2 "Coal" 50 30 20 1300 800 500 0 0 "Coal"</t>
  </si>
  <si>
    <t>10 10 "ADM Europoort" "Europoort" 733947 220184000 1 "Coal" 60 20 20 1000 400 400 0 0 "Coal"</t>
  </si>
  <si>
    <t>10 15 "Welplaat" "Europoort" 1992273 597682000 0.1 "Coal" 40 10 50 2000 500 2500 0 0 "Coal"</t>
  </si>
  <si>
    <t>10 20 "EBS Europoort" "Europoort" 794503 238351000 0.1 "Coal" 10 70 20 200 200 500 0 0 "Coal"</t>
  </si>
  <si>
    <t>10 25 "HBR Europrt 7 Petrh" "Europoort" 333333 100000000 0 "Coal" 10 70 20 100 700 200 0 0 "Coal"</t>
  </si>
  <si>
    <t>10 30 "Boei 81" "Europoort" 794503 238351000 0 "Coal" 90 5 5 2000 100 100 0 0 "Coal"</t>
  </si>
  <si>
    <t>10 35 "Palen 80" "Europoort" 333333 100000000 0 "Coal" 50 20 30 500 200 300 0 0 "Coal"</t>
  </si>
  <si>
    <t>20 5 "EBS Botlek" "Botlek" 917710 275313000 0 "Coal" 10 40 50 300 1000 1200 0 0 "Coal"</t>
  </si>
  <si>
    <t>20 10 "Borax" "Botlek" 1042717 312815000 0.1 "Coal" 30 40 30 900 1000 900 0 0 "Coal"</t>
  </si>
  <si>
    <t>20 15 "E.P. Stevedoring" "Botlek" 2829010 848703000 0.1 "Coal" 50 20 30 400 1500 2500 0 0 "Coal"</t>
  </si>
  <si>
    <t>20 20 "Jewo" "Botlek" 1132530 339759000 0.1 "Coal" 90 5 5 2800 200 200 0 0 "Coal"</t>
  </si>
  <si>
    <t>20 25 "Exploitatie Maatschappij Recycling Kombinatie REKO" "Botlek" 709623 212887000 0 "Coal" 70 10 20 1400 200 400 0 0 "Coal"</t>
  </si>
  <si>
    <t>20 30 "Boei 62" "Botlek" 333333 100000000 0 "Coal" 60 20 20 500 200 200 0 0 "Coal"</t>
  </si>
  <si>
    <t>20 35 "Boei 66" "Botlek" 333333 100000000 0 "Coal" 40 10 50 400 100 500 0 0 "Coal"</t>
  </si>
  <si>
    <t>25 5 "Boei (29)" "Waal- Eemhaven" 333333 100000000 0 "Coal" 20 30 50 200 300 500 0 0 "Coal"</t>
  </si>
  <si>
    <t>25 10 "Boei 26" "Waal- Eemhaven" 333333 100000000 0 "Coal" 10 40 50 100 400 500 0 0 "Coal"</t>
  </si>
  <si>
    <t>25 15 "Boei 23" "Waal- Eemhaven" 333333 100000000 0 "Coal" 50 30 20 500 300 200 0 0 "Coal"</t>
  </si>
  <si>
    <t>25 20 "Boei 34" "Waal- Eemhaven" 333333 100000000 0 "Coal" 70 20 10 600 200 100 0 0 "Coal"</t>
  </si>
  <si>
    <t>25 25 "Boei 27" "Waal- Eemhaven" 333333 100000000 0 "Coal" 30 40 30 300 400 300 0 0 "Coal"</t>
  </si>
  <si>
    <t>25 30 "Boei 21" "Waal- Eemhaven" 333333 100000000 0 "Coal" 50 20 30 500 200 300 0 0 "Coal"</t>
  </si>
  <si>
    <t>35 40 "Transterminal Dordrecht" "Dordrecht" 475790 142737000 0.3 "Coal" 50 20 30 700 300 400 0 0 "Coal"</t>
  </si>
  <si>
    <t>35 50 "Dummy Ijzererts &amp; schroot" "Dordrecht" 333333 100000000 0 "Coal" 60 30 10 500 300 100 0 0 "Coal"</t>
  </si>
  <si>
    <t>35 55 "Dordrecht overig" "Dordrecht" 333333 100000000 0 "Coal" 70 10 20 600 100 200 0 0 "Coal"</t>
  </si>
  <si>
    <t>10 40 "Palen 78" "Europoort" 16667 5000000 0 "Coal" 5 80 15 50 200 100 0 0 "Coal"</t>
  </si>
  <si>
    <t>35 45 "ZHD" "Dordrecht" 333333 100000000 0.1 "Coal" 5 80 15 100 700 100 0 0 "Coal"</t>
  </si>
  <si>
    <t>15 5 "RBT" "Vlaardingen" 166667 50000000 0.1 "Coal" 70 20 10 250 200 200 0 0 "Coal"</t>
  </si>
  <si>
    <t>30 35 "Van Uden (Gusto)" "Merwe- en Vierhaven" 727070 218121000 0.1 "Coal" 20 30 50 500 500 500 0 0 "Coal"</t>
  </si>
  <si>
    <t>DataTerminals - analysis</t>
  </si>
  <si>
    <t>DataTerminals - 0609</t>
  </si>
  <si>
    <t>5 5 "EMO" "Maasvlakte" 675407 202622000 0.1 "Coal" 80 10 10 1550 200 200 0 0 "Coal"</t>
  </si>
  <si>
    <t>5 10 "Engie" "Maasvlakte" 288683 86605000 0.2 "Coal" 60 30 10 550 200 100 0 0 "Coal"</t>
  </si>
  <si>
    <t>5 15 "Electrabel Missouriweg Maasvlakte" "Maasvlakte" 333333 100000000 0 "Coal" 80 10 10 850 100 100 0 0 "Coal"</t>
  </si>
  <si>
    <t>5 20 "HBR Maasvlakte 2" "Maasvlakte" 333333 100000000 0 "Coal" 5 80 15 250 700 200 0 0 "Coal"</t>
  </si>
  <si>
    <t>5 1 "Terminal X" "Maasvlakte" 333333 100000000 0.1 "Nothing" 10 20 70 350 200 600 2025 0 "Coal"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</si>
</sst>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&quot;€&quot;\ #,##0"/>
  </numFmts>
  <fonts count="18" x14ac:knownFonts="1">
    <font>
      <sz val="11"/>
      <color theme="1"/>
      <name val="Calibri"/>
      <family val="2"/>
      <scheme val="minor"/>
    </font>
    <font>
      <sz val="9"/>
      <color theme="1"/>
      <name val="Arial"/>
      <family val="2"/>
    </font>
    <font>
      <sz val="11"/>
      <color rgb="FF000000"/>
      <name val="Calibri"/>
      <family val="2"/>
    </font>
    <font>
      <sz val="11"/>
      <color theme="4" tint="-0.499984740745262"/>
      <name val="Calibri"/>
      <family val="2"/>
      <scheme val="minor"/>
    </font>
    <font>
      <sz val="15"/>
      <color theme="0" tint="-0.499984740745262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5"/>
      <color theme="0"/>
      <name val="Calibri"/>
      <family val="2"/>
      <scheme val="minor"/>
    </font>
    <font>
      <b/>
      <sz val="9"/>
      <color theme="1"/>
      <name val="Arial"/>
      <family val="2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</font>
    <font>
      <sz val="10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5"/>
      <color theme="0"/>
      <name val="Calibri"/>
      <family val="2"/>
      <scheme val="minor"/>
    </font>
    <font>
      <sz val="15"/>
      <color theme="0" tint="-0.499984740745262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theme="4" tint="-0.499984740745262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4" tint="0.39997558519241921"/>
        <bgColor indexed="64"/>
      </patternFill>
    </fill>
  </fills>
  <borders count="16">
    <border>
      <left/>
      <right/>
      <top/>
      <bottom/>
      <diagonal/>
    </border>
    <border>
      <left style="thin">
        <color theme="4" tint="-0.499984740745262"/>
      </left>
      <right/>
      <top style="thin">
        <color theme="4" tint="-0.499984740745262"/>
      </top>
      <bottom/>
      <diagonal/>
    </border>
    <border>
      <left/>
      <right style="thin">
        <color theme="4" tint="-0.499984740745262"/>
      </right>
      <top style="thin">
        <color theme="4" tint="-0.499984740745262"/>
      </top>
      <bottom/>
      <diagonal/>
    </border>
    <border>
      <left/>
      <right style="thin">
        <color theme="4" tint="-0.499984740745262"/>
      </right>
      <top/>
      <bottom/>
      <diagonal/>
    </border>
    <border>
      <left/>
      <right style="thin">
        <color theme="4" tint="-0.499984740745262"/>
      </right>
      <top/>
      <bottom style="thin">
        <color theme="4" tint="-0.499984740745262"/>
      </bottom>
      <diagonal/>
    </border>
    <border>
      <left style="thin">
        <color theme="4" tint="-0.499984740745262"/>
      </left>
      <right style="thin">
        <color theme="4" tint="-0.499984740745262"/>
      </right>
      <top/>
      <bottom style="thin">
        <color theme="4" tint="-0.499984740745262"/>
      </bottom>
      <diagonal/>
    </border>
    <border>
      <left style="thin">
        <color theme="4" tint="-0.499984740745262"/>
      </left>
      <right style="thin">
        <color theme="4" tint="-0.499984740745262"/>
      </right>
      <top/>
      <bottom/>
      <diagonal/>
    </border>
    <border>
      <left style="thick">
        <color theme="0" tint="-0.499984740745262"/>
      </left>
      <right/>
      <top style="thick">
        <color theme="0" tint="-0.499984740745262"/>
      </top>
      <bottom style="thick">
        <color theme="0" tint="-0.499984740745262"/>
      </bottom>
      <diagonal/>
    </border>
    <border>
      <left/>
      <right style="thick">
        <color theme="0" tint="-0.499984740745262"/>
      </right>
      <top style="thick">
        <color theme="0" tint="-0.499984740745262"/>
      </top>
      <bottom style="thick">
        <color theme="0" tint="-0.499984740745262"/>
      </bottom>
      <diagonal/>
    </border>
    <border>
      <left style="thin">
        <color theme="4" tint="-0.499984740745262"/>
      </left>
      <right/>
      <top/>
      <bottom/>
      <diagonal/>
    </border>
    <border>
      <left style="thin">
        <color theme="4" tint="-0.499984740745262"/>
      </left>
      <right/>
      <top/>
      <bottom style="thin">
        <color theme="4" tint="-0.499984740745262"/>
      </bottom>
      <diagonal/>
    </border>
    <border>
      <left/>
      <right/>
      <top/>
      <bottom style="thin">
        <color theme="4" tint="-0.499984740745262"/>
      </bottom>
      <diagonal/>
    </border>
    <border>
      <left/>
      <right/>
      <top style="thin">
        <color theme="4" tint="-0.499984740745262"/>
      </top>
      <bottom/>
      <diagonal/>
    </border>
    <border>
      <left/>
      <right style="thin">
        <color theme="4" tint="0.39997558519241921"/>
      </right>
      <top/>
      <bottom/>
      <diagonal/>
    </border>
    <border>
      <left/>
      <right style="thin">
        <color theme="4" tint="0.39997558519241921"/>
      </right>
      <top/>
      <bottom style="thin">
        <color theme="4" tint="-0.499984740745262"/>
      </bottom>
      <diagonal/>
    </border>
    <border>
      <left/>
      <right style="thin">
        <color theme="4" tint="0.39997558519241921"/>
      </right>
      <top style="thin">
        <color theme="4" tint="-0.499984740745262"/>
      </top>
      <bottom/>
      <diagonal/>
    </border>
  </borders>
  <cellStyleXfs count="2">
    <xf numFmtId="0" fontId="0" fillId="0" borderId="0"/>
    <xf numFmtId="9" fontId="8" fillId="0" borderId="0" applyFont="0" applyFill="0" applyBorder="0" applyAlignment="0" applyProtection="0"/>
  </cellStyleXfs>
  <cellXfs count="97">
    <xf numFmtId="0" fontId="0" fillId="0" borderId="0" xfId="0"/>
    <xf numFmtId="0" fontId="1" fillId="0" borderId="0" xfId="0" applyFont="1"/>
    <xf numFmtId="0" fontId="0" fillId="0" borderId="0" xfId="0" applyNumberFormat="1"/>
    <xf numFmtId="0" fontId="1" fillId="0" borderId="0" xfId="0" applyNumberFormat="1" applyFont="1"/>
    <xf numFmtId="0" fontId="0" fillId="4" borderId="0" xfId="0" applyFill="1"/>
    <xf numFmtId="0" fontId="3" fillId="2" borderId="6" xfId="0" applyFont="1" applyFill="1" applyBorder="1"/>
    <xf numFmtId="0" fontId="3" fillId="2" borderId="3" xfId="0" applyFont="1" applyFill="1" applyBorder="1"/>
    <xf numFmtId="0" fontId="3" fillId="4" borderId="6" xfId="0" applyFont="1" applyFill="1" applyBorder="1"/>
    <xf numFmtId="0" fontId="3" fillId="4" borderId="3" xfId="0" applyFont="1" applyFill="1" applyBorder="1" applyAlignment="1">
      <alignment horizontal="left"/>
    </xf>
    <xf numFmtId="0" fontId="3" fillId="2" borderId="3" xfId="0" applyFont="1" applyFill="1" applyBorder="1" applyAlignment="1">
      <alignment horizontal="left"/>
    </xf>
    <xf numFmtId="0" fontId="3" fillId="4" borderId="5" xfId="0" applyFont="1" applyFill="1" applyBorder="1"/>
    <xf numFmtId="0" fontId="3" fillId="4" borderId="4" xfId="0" applyFont="1" applyFill="1" applyBorder="1" applyAlignment="1">
      <alignment horizontal="left"/>
    </xf>
    <xf numFmtId="0" fontId="6" fillId="5" borderId="7" xfId="0" applyFont="1" applyFill="1" applyBorder="1" applyAlignment="1">
      <alignment vertical="center"/>
    </xf>
    <xf numFmtId="0" fontId="4" fillId="0" borderId="8" xfId="0" applyFont="1" applyBorder="1" applyAlignment="1">
      <alignment horizontal="left" vertical="center"/>
    </xf>
    <xf numFmtId="0" fontId="7" fillId="0" borderId="0" xfId="0" applyFont="1"/>
    <xf numFmtId="0" fontId="10" fillId="0" borderId="0" xfId="0" applyFont="1"/>
    <xf numFmtId="9" fontId="0" fillId="0" borderId="0" xfId="1" applyFont="1"/>
    <xf numFmtId="0" fontId="11" fillId="0" borderId="0" xfId="0" applyFont="1" applyAlignment="1">
      <alignment horizontal="right"/>
    </xf>
    <xf numFmtId="0" fontId="0" fillId="0" borderId="0" xfId="0" applyAlignment="1">
      <alignment horizontal="left"/>
    </xf>
    <xf numFmtId="0" fontId="3" fillId="4" borderId="3" xfId="1" applyNumberFormat="1" applyFont="1" applyFill="1" applyBorder="1" applyAlignment="1">
      <alignment horizontal="left"/>
    </xf>
    <xf numFmtId="0" fontId="3" fillId="2" borderId="0" xfId="0" applyFont="1" applyFill="1" applyBorder="1"/>
    <xf numFmtId="0" fontId="3" fillId="4" borderId="0" xfId="1" applyNumberFormat="1" applyFont="1" applyFill="1" applyBorder="1" applyAlignment="1">
      <alignment horizontal="left"/>
    </xf>
    <xf numFmtId="0" fontId="3" fillId="2" borderId="0" xfId="0" applyFont="1" applyFill="1" applyBorder="1" applyAlignment="1">
      <alignment horizontal="left"/>
    </xf>
    <xf numFmtId="0" fontId="3" fillId="4" borderId="0" xfId="0" applyFont="1" applyFill="1" applyBorder="1" applyAlignment="1">
      <alignment horizontal="left"/>
    </xf>
    <xf numFmtId="0" fontId="3" fillId="4" borderId="0" xfId="0" applyFont="1" applyFill="1" applyBorder="1"/>
    <xf numFmtId="0" fontId="3" fillId="2" borderId="3" xfId="0" applyFont="1" applyFill="1" applyBorder="1" applyAlignment="1">
      <alignment horizontal="center"/>
    </xf>
    <xf numFmtId="0" fontId="0" fillId="4" borderId="6" xfId="0" applyFill="1" applyBorder="1"/>
    <xf numFmtId="0" fontId="3" fillId="2" borderId="5" xfId="0" applyFont="1" applyFill="1" applyBorder="1"/>
    <xf numFmtId="0" fontId="0" fillId="4" borderId="12" xfId="0" applyFill="1" applyBorder="1"/>
    <xf numFmtId="0" fontId="3" fillId="4" borderId="5" xfId="0" applyFont="1" applyFill="1" applyBorder="1" applyAlignment="1">
      <alignment horizontal="left"/>
    </xf>
    <xf numFmtId="9" fontId="3" fillId="2" borderId="6" xfId="0" applyNumberFormat="1" applyFont="1" applyFill="1" applyBorder="1" applyAlignment="1">
      <alignment horizontal="left"/>
    </xf>
    <xf numFmtId="9" fontId="3" fillId="4" borderId="6" xfId="1" applyFont="1" applyFill="1" applyBorder="1" applyAlignment="1">
      <alignment horizontal="left"/>
    </xf>
    <xf numFmtId="0" fontId="0" fillId="4" borderId="3" xfId="0" applyFill="1" applyBorder="1"/>
    <xf numFmtId="0" fontId="3" fillId="2" borderId="11" xfId="0" applyFont="1" applyFill="1" applyBorder="1"/>
    <xf numFmtId="0" fontId="9" fillId="6" borderId="6" xfId="0" applyFont="1" applyFill="1" applyBorder="1" applyAlignment="1">
      <alignment horizontal="left"/>
    </xf>
    <xf numFmtId="0" fontId="9" fillId="6" borderId="5" xfId="0" applyFont="1" applyFill="1" applyBorder="1" applyAlignment="1">
      <alignment horizontal="left"/>
    </xf>
    <xf numFmtId="0" fontId="3" fillId="2" borderId="13" xfId="0" applyFont="1" applyFill="1" applyBorder="1"/>
    <xf numFmtId="9" fontId="3" fillId="4" borderId="13" xfId="1" applyFont="1" applyFill="1" applyBorder="1" applyAlignment="1">
      <alignment horizontal="left"/>
    </xf>
    <xf numFmtId="0" fontId="3" fillId="2" borderId="14" xfId="0" applyFont="1" applyFill="1" applyBorder="1"/>
    <xf numFmtId="0" fontId="0" fillId="3" borderId="0" xfId="0" applyFill="1" applyBorder="1"/>
    <xf numFmtId="0" fontId="12" fillId="6" borderId="6" xfId="0" applyFont="1" applyFill="1" applyBorder="1" applyAlignment="1">
      <alignment horizontal="right"/>
    </xf>
    <xf numFmtId="0" fontId="12" fillId="6" borderId="5" xfId="0" applyFont="1" applyFill="1" applyBorder="1" applyAlignment="1">
      <alignment horizontal="right"/>
    </xf>
    <xf numFmtId="9" fontId="3" fillId="4" borderId="0" xfId="1" applyFont="1" applyFill="1" applyBorder="1"/>
    <xf numFmtId="9" fontId="3" fillId="2" borderId="0" xfId="1" applyFont="1" applyFill="1" applyBorder="1"/>
    <xf numFmtId="9" fontId="3" fillId="2" borderId="11" xfId="1" applyFont="1" applyFill="1" applyBorder="1"/>
    <xf numFmtId="0" fontId="9" fillId="6" borderId="5" xfId="0" applyFont="1" applyFill="1" applyBorder="1" applyAlignment="1">
      <alignment horizontal="center"/>
    </xf>
    <xf numFmtId="0" fontId="3" fillId="2" borderId="15" xfId="0" applyFont="1" applyFill="1" applyBorder="1"/>
    <xf numFmtId="0" fontId="3" fillId="4" borderId="3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left"/>
    </xf>
    <xf numFmtId="0" fontId="3" fillId="2" borderId="3" xfId="1" applyNumberFormat="1" applyFont="1" applyFill="1" applyBorder="1" applyAlignment="1">
      <alignment horizontal="left"/>
    </xf>
    <xf numFmtId="9" fontId="3" fillId="2" borderId="15" xfId="1" applyFont="1" applyFill="1" applyBorder="1" applyAlignment="1">
      <alignment horizontal="left"/>
    </xf>
    <xf numFmtId="9" fontId="3" fillId="2" borderId="13" xfId="1" applyFont="1" applyFill="1" applyBorder="1" applyAlignment="1">
      <alignment horizontal="left"/>
    </xf>
    <xf numFmtId="9" fontId="3" fillId="2" borderId="14" xfId="1" applyFont="1" applyFill="1" applyBorder="1" applyAlignment="1">
      <alignment horizontal="left"/>
    </xf>
    <xf numFmtId="0" fontId="9" fillId="6" borderId="4" xfId="0" applyFont="1" applyFill="1" applyBorder="1" applyAlignment="1">
      <alignment horizontal="center" wrapText="1"/>
    </xf>
    <xf numFmtId="0" fontId="3" fillId="2" borderId="0" xfId="1" applyNumberFormat="1" applyFont="1" applyFill="1" applyBorder="1" applyAlignment="1">
      <alignment horizontal="left"/>
    </xf>
    <xf numFmtId="0" fontId="3" fillId="2" borderId="11" xfId="1" applyNumberFormat="1" applyFont="1" applyFill="1" applyBorder="1" applyAlignment="1">
      <alignment horizontal="left"/>
    </xf>
    <xf numFmtId="0" fontId="3" fillId="4" borderId="0" xfId="1" applyNumberFormat="1" applyFont="1" applyFill="1" applyBorder="1"/>
    <xf numFmtId="0" fontId="5" fillId="3" borderId="1" xfId="0" applyFont="1" applyFill="1" applyBorder="1" applyAlignment="1">
      <alignment horizontal="center"/>
    </xf>
    <xf numFmtId="0" fontId="5" fillId="3" borderId="2" xfId="0" applyFont="1" applyFill="1" applyBorder="1" applyAlignment="1">
      <alignment horizontal="center"/>
    </xf>
    <xf numFmtId="0" fontId="0" fillId="4" borderId="9" xfId="0" applyFill="1" applyBorder="1" applyAlignment="1">
      <alignment horizontal="center"/>
    </xf>
    <xf numFmtId="0" fontId="0" fillId="4" borderId="0" xfId="0" applyFill="1" applyBorder="1" applyAlignment="1">
      <alignment horizontal="center"/>
    </xf>
    <xf numFmtId="0" fontId="0" fillId="0" borderId="0" xfId="0" applyAlignment="1">
      <alignment horizontal="center"/>
    </xf>
    <xf numFmtId="0" fontId="9" fillId="3" borderId="9" xfId="0" applyFont="1" applyFill="1" applyBorder="1" applyAlignment="1">
      <alignment horizontal="center"/>
    </xf>
    <xf numFmtId="0" fontId="9" fillId="3" borderId="0" xfId="0" applyFont="1" applyFill="1" applyBorder="1" applyAlignment="1">
      <alignment horizontal="center"/>
    </xf>
    <xf numFmtId="0" fontId="3" fillId="4" borderId="9" xfId="1" applyNumberFormat="1" applyFont="1" applyFill="1" applyBorder="1" applyAlignment="1">
      <alignment horizontal="center"/>
    </xf>
    <xf numFmtId="0" fontId="3" fillId="4" borderId="13" xfId="1" applyNumberFormat="1" applyFont="1" applyFill="1" applyBorder="1" applyAlignment="1">
      <alignment horizontal="center"/>
    </xf>
    <xf numFmtId="9" fontId="3" fillId="4" borderId="9" xfId="1" applyFont="1" applyFill="1" applyBorder="1" applyAlignment="1">
      <alignment horizontal="center"/>
    </xf>
    <xf numFmtId="9" fontId="3" fillId="4" borderId="13" xfId="1" applyFont="1" applyFill="1" applyBorder="1" applyAlignment="1">
      <alignment horizontal="center"/>
    </xf>
    <xf numFmtId="9" fontId="3" fillId="2" borderId="10" xfId="1" applyFont="1" applyFill="1" applyBorder="1" applyAlignment="1">
      <alignment horizontal="center"/>
    </xf>
    <xf numFmtId="9" fontId="3" fillId="2" borderId="14" xfId="1" applyFont="1" applyFill="1" applyBorder="1" applyAlignment="1">
      <alignment horizontal="center"/>
    </xf>
    <xf numFmtId="0" fontId="9" fillId="6" borderId="10" xfId="0" applyFont="1" applyFill="1" applyBorder="1" applyAlignment="1">
      <alignment horizontal="center"/>
    </xf>
    <xf numFmtId="0" fontId="9" fillId="6" borderId="4" xfId="0" applyFont="1" applyFill="1" applyBorder="1" applyAlignment="1">
      <alignment horizontal="center"/>
    </xf>
    <xf numFmtId="0" fontId="9" fillId="6" borderId="11" xfId="0" applyFont="1" applyFill="1" applyBorder="1" applyAlignment="1">
      <alignment horizontal="center"/>
    </xf>
    <xf numFmtId="0" fontId="3" fillId="4" borderId="10" xfId="0" applyFont="1" applyFill="1" applyBorder="1" applyAlignment="1">
      <alignment horizontal="left"/>
    </xf>
    <xf numFmtId="0" fontId="3" fillId="4" borderId="4" xfId="0" applyFont="1" applyFill="1" applyBorder="1" applyAlignment="1">
      <alignment horizontal="left"/>
    </xf>
    <xf numFmtId="0" fontId="5" fillId="3" borderId="9" xfId="0" applyFont="1" applyFill="1" applyBorder="1" applyAlignment="1">
      <alignment horizontal="center"/>
    </xf>
    <xf numFmtId="0" fontId="5" fillId="3" borderId="0" xfId="0" applyFont="1" applyFill="1" applyBorder="1" applyAlignment="1">
      <alignment horizontal="center"/>
    </xf>
    <xf numFmtId="0" fontId="5" fillId="3" borderId="3" xfId="0" applyFont="1" applyFill="1" applyBorder="1" applyAlignment="1">
      <alignment horizontal="center"/>
    </xf>
    <xf numFmtId="0" fontId="3" fillId="2" borderId="10" xfId="0" applyNumberFormat="1" applyFont="1" applyFill="1" applyBorder="1" applyAlignment="1">
      <alignment horizontal="left"/>
    </xf>
    <xf numFmtId="0" fontId="3" fillId="2" borderId="4" xfId="0" applyNumberFormat="1" applyFont="1" applyFill="1" applyBorder="1" applyAlignment="1">
      <alignment horizontal="left"/>
    </xf>
    <xf numFmtId="0" fontId="3" fillId="2" borderId="9" xfId="0" applyFont="1" applyFill="1" applyBorder="1" applyAlignment="1">
      <alignment horizontal="left"/>
    </xf>
    <xf numFmtId="0" fontId="3" fillId="2" borderId="3" xfId="0" applyFont="1" applyFill="1" applyBorder="1" applyAlignment="1">
      <alignment horizontal="left"/>
    </xf>
    <xf numFmtId="0" fontId="13" fillId="4" borderId="0" xfId="0" applyFont="1" applyFill="1"/>
    <xf numFmtId="0" fontId="14" fillId="5" borderId="7" xfId="0" applyFont="1" applyFill="1" applyBorder="1" applyAlignment="1">
      <alignment vertical="center"/>
    </xf>
    <xf numFmtId="0" fontId="15" fillId="0" borderId="8" xfId="0" applyFont="1" applyBorder="1" applyAlignment="1">
      <alignment horizontal="left" vertical="center"/>
    </xf>
    <xf numFmtId="0" fontId="16" fillId="3" borderId="1" xfId="0" applyFont="1" applyFill="1" applyBorder="1" applyAlignment="1">
      <alignment horizontal="center"/>
    </xf>
    <xf numFmtId="0" fontId="16" fillId="3" borderId="2" xfId="0" applyFont="1" applyFill="1" applyBorder="1" applyAlignment="1">
      <alignment horizontal="center"/>
    </xf>
    <xf numFmtId="0" fontId="17" fillId="2" borderId="6" xfId="0" applyFont="1" applyFill="1" applyBorder="1"/>
    <xf numFmtId="0" fontId="17" fillId="2" borderId="3" xfId="0" applyFont="1" applyFill="1" applyBorder="1"/>
    <xf numFmtId="0" fontId="17" fillId="4" borderId="6" xfId="0" applyFont="1" applyFill="1" applyBorder="1"/>
    <xf numFmtId="0" fontId="17" fillId="4" borderId="3" xfId="0" applyFont="1" applyFill="1" applyBorder="1" applyAlignment="1">
      <alignment horizontal="left"/>
    </xf>
    <xf numFmtId="10" fontId="17" fillId="2" borderId="3" xfId="1" applyNumberFormat="1" applyFont="1" applyFill="1" applyBorder="1" applyAlignment="1">
      <alignment horizontal="left"/>
    </xf>
    <xf numFmtId="9" fontId="17" fillId="2" borderId="3" xfId="1" applyFont="1" applyFill="1" applyBorder="1" applyAlignment="1">
      <alignment horizontal="left"/>
    </xf>
    <xf numFmtId="164" fontId="17" fillId="2" borderId="3" xfId="1" applyNumberFormat="1" applyFont="1" applyFill="1" applyBorder="1" applyAlignment="1">
      <alignment horizontal="left"/>
    </xf>
    <xf numFmtId="0" fontId="17" fillId="4" borderId="5" xfId="0" applyFont="1" applyFill="1" applyBorder="1"/>
    <xf numFmtId="164" fontId="17" fillId="4" borderId="4" xfId="1" applyNumberFormat="1" applyFont="1" applyFill="1" applyBorder="1" applyAlignment="1">
      <alignment horizontal="left"/>
    </xf>
  </cellXfs>
  <cellStyles count="2">
    <cellStyle name="Procent" xfId="1" builtinId="5"/>
    <cellStyle name="Standaard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571500</xdr:colOff>
          <xdr:row>2</xdr:row>
          <xdr:rowOff>161925</xdr:rowOff>
        </xdr:from>
        <xdr:to>
          <xdr:col>6</xdr:col>
          <xdr:colOff>171450</xdr:colOff>
          <xdr:row>5</xdr:row>
          <xdr:rowOff>123825</xdr:rowOff>
        </xdr:to>
        <xdr:sp macro="" textlink="">
          <xdr:nvSpPr>
            <xdr:cNvPr id="7169" name="Knop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Convert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28575</xdr:colOff>
          <xdr:row>7</xdr:row>
          <xdr:rowOff>76200</xdr:rowOff>
        </xdr:from>
        <xdr:to>
          <xdr:col>6</xdr:col>
          <xdr:colOff>523875</xdr:colOff>
          <xdr:row>10</xdr:row>
          <xdr:rowOff>76200</xdr:rowOff>
        </xdr:to>
        <xdr:sp macro="" textlink="">
          <xdr:nvSpPr>
            <xdr:cNvPr id="7170" name="Knop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0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Analysis on current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257175</xdr:colOff>
          <xdr:row>1</xdr:row>
          <xdr:rowOff>180975</xdr:rowOff>
        </xdr:from>
        <xdr:to>
          <xdr:col>4</xdr:col>
          <xdr:colOff>180975</xdr:colOff>
          <xdr:row>2</xdr:row>
          <xdr:rowOff>438150</xdr:rowOff>
        </xdr:to>
        <xdr:sp macro="" textlink="">
          <xdr:nvSpPr>
            <xdr:cNvPr id="3077" name="Knop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4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Upload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523875</xdr:colOff>
          <xdr:row>1</xdr:row>
          <xdr:rowOff>171450</xdr:rowOff>
        </xdr:from>
        <xdr:to>
          <xdr:col>5</xdr:col>
          <xdr:colOff>904875</xdr:colOff>
          <xdr:row>2</xdr:row>
          <xdr:rowOff>447675</xdr:rowOff>
        </xdr:to>
        <xdr:sp macro="" textlink="">
          <xdr:nvSpPr>
            <xdr:cNvPr id="3084" name="Knop 12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4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Clean 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657225</xdr:colOff>
          <xdr:row>3</xdr:row>
          <xdr:rowOff>161925</xdr:rowOff>
        </xdr:from>
        <xdr:to>
          <xdr:col>13</xdr:col>
          <xdr:colOff>9525</xdr:colOff>
          <xdr:row>6</xdr:row>
          <xdr:rowOff>133350</xdr:rowOff>
        </xdr:to>
        <xdr:sp macro="" textlink="">
          <xdr:nvSpPr>
            <xdr:cNvPr id="15361" name="Knop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6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Analysis on current values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257175</xdr:colOff>
          <xdr:row>1</xdr:row>
          <xdr:rowOff>180975</xdr:rowOff>
        </xdr:from>
        <xdr:to>
          <xdr:col>5</xdr:col>
          <xdr:colOff>180975</xdr:colOff>
          <xdr:row>2</xdr:row>
          <xdr:rowOff>438150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7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Upload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257175</xdr:colOff>
          <xdr:row>1</xdr:row>
          <xdr:rowOff>180975</xdr:rowOff>
        </xdr:from>
        <xdr:to>
          <xdr:col>4</xdr:col>
          <xdr:colOff>180975</xdr:colOff>
          <xdr:row>2</xdr:row>
          <xdr:rowOff>438150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8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Upload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5"/>
  <dimension ref="B4:E5"/>
  <sheetViews>
    <sheetView workbookViewId="0">
      <selection activeCell="K22" sqref="K22"/>
    </sheetView>
  </sheetViews>
  <sheetFormatPr defaultRowHeight="15" x14ac:dyDescent="0.25"/>
  <cols>
    <col min="2" max="2" width="19.28515625" customWidth="1"/>
    <col min="3" max="3" width="24" customWidth="1"/>
  </cols>
  <sheetData>
    <row r="4" spans="2:5" x14ac:dyDescent="0.25">
      <c r="B4" t="s">
        <v>112</v>
      </c>
      <c r="C4" t="s">
        <v>200</v>
      </c>
    </row>
    <row r="5" spans="2:5" x14ac:dyDescent="0.25">
      <c r="B5" t="s">
        <v>113</v>
      </c>
      <c r="C5" t="s">
        <v>201</v>
      </c>
      <c r="E5" t="s">
        <v>162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MakeCSVSheet">
                <anchor moveWithCells="1" sizeWithCells="1">
                  <from>
                    <xdr:col>3</xdr:col>
                    <xdr:colOff>571500</xdr:colOff>
                    <xdr:row>2</xdr:row>
                    <xdr:rowOff>161925</xdr:rowOff>
                  </from>
                  <to>
                    <xdr:col>6</xdr:col>
                    <xdr:colOff>171450</xdr:colOff>
                    <xdr:row>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4" name="Button 2">
              <controlPr defaultSize="0" print="0" autoFill="0" autoPict="0" macro="[0]!Analysis_on_current_data">
                <anchor moveWithCells="1" sizeWithCells="1">
                  <from>
                    <xdr:col>4</xdr:col>
                    <xdr:colOff>28575</xdr:colOff>
                    <xdr:row>7</xdr:row>
                    <xdr:rowOff>76200</xdr:rowOff>
                  </from>
                  <to>
                    <xdr:col>6</xdr:col>
                    <xdr:colOff>523875</xdr:colOff>
                    <xdr:row>10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6"/>
  <dimension ref="A1:E9"/>
  <sheetViews>
    <sheetView workbookViewId="0">
      <selection activeCell="F20" sqref="F20"/>
    </sheetView>
  </sheetViews>
  <sheetFormatPr defaultRowHeight="15" x14ac:dyDescent="0.25"/>
  <cols>
    <col min="2" max="2" width="15" customWidth="1"/>
  </cols>
  <sheetData>
    <row r="1" spans="1:5" x14ac:dyDescent="0.25">
      <c r="B1" s="14" t="s">
        <v>2</v>
      </c>
      <c r="C1" t="s">
        <v>114</v>
      </c>
      <c r="D1" t="s">
        <v>6</v>
      </c>
      <c r="E1" t="s">
        <v>7</v>
      </c>
    </row>
    <row r="2" spans="1:5" x14ac:dyDescent="0.25">
      <c r="B2" s="14" t="s">
        <v>111</v>
      </c>
      <c r="C2" t="s">
        <v>110</v>
      </c>
      <c r="D2" t="s">
        <v>110</v>
      </c>
      <c r="E2" t="s">
        <v>110</v>
      </c>
    </row>
    <row r="3" spans="1:5" x14ac:dyDescent="0.25">
      <c r="A3" t="s">
        <v>170</v>
      </c>
      <c r="B3" s="1" t="s">
        <v>52</v>
      </c>
      <c r="C3">
        <v>50000</v>
      </c>
      <c r="D3">
        <v>30</v>
      </c>
      <c r="E3">
        <v>1</v>
      </c>
    </row>
    <row r="4" spans="1:5" x14ac:dyDescent="0.25">
      <c r="A4" t="s">
        <v>116</v>
      </c>
      <c r="B4" s="1" t="s">
        <v>45</v>
      </c>
      <c r="C4">
        <v>50000</v>
      </c>
      <c r="D4">
        <v>25</v>
      </c>
      <c r="E4">
        <v>1</v>
      </c>
    </row>
    <row r="5" spans="1:5" x14ac:dyDescent="0.25">
      <c r="A5" t="s">
        <v>115</v>
      </c>
      <c r="B5" s="1" t="s">
        <v>36</v>
      </c>
      <c r="C5">
        <v>50000</v>
      </c>
      <c r="D5">
        <v>20</v>
      </c>
      <c r="E5">
        <v>1</v>
      </c>
    </row>
    <row r="6" spans="1:5" x14ac:dyDescent="0.25">
      <c r="A6" t="s">
        <v>117</v>
      </c>
      <c r="B6" s="1" t="s">
        <v>24</v>
      </c>
      <c r="C6">
        <v>50000</v>
      </c>
      <c r="D6">
        <v>10</v>
      </c>
      <c r="E6">
        <v>1</v>
      </c>
    </row>
    <row r="7" spans="1:5" x14ac:dyDescent="0.25">
      <c r="A7" t="s">
        <v>118</v>
      </c>
      <c r="B7" s="1" t="s">
        <v>18</v>
      </c>
      <c r="C7">
        <v>50000</v>
      </c>
      <c r="D7">
        <v>5</v>
      </c>
      <c r="E7">
        <v>1</v>
      </c>
    </row>
    <row r="8" spans="1:5" x14ac:dyDescent="0.25">
      <c r="A8" t="s">
        <v>119</v>
      </c>
      <c r="B8" s="1" t="s">
        <v>34</v>
      </c>
      <c r="C8">
        <v>50000</v>
      </c>
      <c r="D8">
        <v>15</v>
      </c>
      <c r="E8">
        <v>1</v>
      </c>
    </row>
    <row r="9" spans="1:5" x14ac:dyDescent="0.25">
      <c r="A9" t="s">
        <v>120</v>
      </c>
      <c r="B9" s="1" t="s">
        <v>54</v>
      </c>
      <c r="C9">
        <v>50000</v>
      </c>
      <c r="D9">
        <v>35</v>
      </c>
      <c r="E9">
        <v>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3"/>
  <dimension ref="A1:R34"/>
  <sheetViews>
    <sheetView workbookViewId="0">
      <selection activeCell="M3" sqref="M3:O33"/>
    </sheetView>
  </sheetViews>
  <sheetFormatPr defaultRowHeight="15" x14ac:dyDescent="0.25"/>
  <cols>
    <col min="1" max="1" width="13.42578125" customWidth="1"/>
    <col min="2" max="2" width="11.28515625" customWidth="1"/>
    <col min="3" max="3" width="6.42578125" customWidth="1"/>
    <col min="4" max="4" width="43.7109375" bestFit="1" customWidth="1"/>
    <col min="5" max="5" width="17.5703125" bestFit="1" customWidth="1"/>
    <col min="6" max="6" width="10.140625" bestFit="1" customWidth="1"/>
    <col min="7" max="7" width="10.140625" customWidth="1"/>
    <col min="8" max="8" width="10.5703125" style="2" customWidth="1"/>
    <col min="9" max="9" width="10.42578125" bestFit="1" customWidth="1"/>
    <col min="10" max="10" width="13.28515625" bestFit="1" customWidth="1"/>
    <col min="11" max="11" width="12.85546875" bestFit="1" customWidth="1"/>
    <col min="12" max="12" width="13.5703125" bestFit="1" customWidth="1"/>
    <col min="13" max="15" width="13.5703125" customWidth="1"/>
    <col min="16" max="16" width="16.7109375" bestFit="1" customWidth="1"/>
    <col min="17" max="17" width="20.140625" bestFit="1" customWidth="1"/>
    <col min="18" max="18" width="10.42578125" bestFit="1" customWidth="1"/>
  </cols>
  <sheetData>
    <row r="1" spans="1:18" x14ac:dyDescent="0.25">
      <c r="B1" t="s">
        <v>6</v>
      </c>
      <c r="C1" t="s">
        <v>7</v>
      </c>
      <c r="D1" t="s">
        <v>2</v>
      </c>
      <c r="E1" t="s">
        <v>3</v>
      </c>
      <c r="F1" t="s">
        <v>109</v>
      </c>
      <c r="G1" t="s">
        <v>8</v>
      </c>
      <c r="H1" s="2" t="s">
        <v>4</v>
      </c>
      <c r="I1" t="s">
        <v>5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108</v>
      </c>
    </row>
    <row r="2" spans="1:18" x14ac:dyDescent="0.25">
      <c r="B2" t="s">
        <v>110</v>
      </c>
      <c r="C2" t="s">
        <v>110</v>
      </c>
      <c r="D2" t="s">
        <v>111</v>
      </c>
      <c r="E2" t="s">
        <v>111</v>
      </c>
      <c r="F2" t="s">
        <v>110</v>
      </c>
      <c r="G2" t="s">
        <v>110</v>
      </c>
      <c r="H2" s="2" t="s">
        <v>110</v>
      </c>
      <c r="I2" s="2" t="s">
        <v>111</v>
      </c>
      <c r="J2" s="2" t="s">
        <v>110</v>
      </c>
      <c r="K2" s="2" t="s">
        <v>110</v>
      </c>
      <c r="L2" s="2" t="s">
        <v>110</v>
      </c>
      <c r="M2" s="2" t="s">
        <v>110</v>
      </c>
      <c r="N2" s="2" t="s">
        <v>110</v>
      </c>
      <c r="O2" s="2" t="s">
        <v>110</v>
      </c>
      <c r="P2" s="2" t="s">
        <v>110</v>
      </c>
      <c r="Q2" s="2" t="s">
        <v>110</v>
      </c>
      <c r="R2" s="2" t="s">
        <v>111</v>
      </c>
    </row>
    <row r="3" spans="1:18" x14ac:dyDescent="0.25">
      <c r="A3" t="s">
        <v>169</v>
      </c>
      <c r="B3">
        <v>5</v>
      </c>
      <c r="C3">
        <v>5</v>
      </c>
      <c r="D3" s="1" t="s">
        <v>17</v>
      </c>
      <c r="E3" s="1" t="s">
        <v>18</v>
      </c>
      <c r="F3" s="1">
        <v>675407</v>
      </c>
      <c r="G3" s="1">
        <v>202622000</v>
      </c>
      <c r="H3" s="2" t="s">
        <v>27</v>
      </c>
      <c r="I3" t="s">
        <v>94</v>
      </c>
      <c r="J3">
        <v>80</v>
      </c>
      <c r="K3">
        <v>10</v>
      </c>
      <c r="L3">
        <v>10</v>
      </c>
      <c r="M3">
        <v>1500</v>
      </c>
      <c r="N3">
        <v>200</v>
      </c>
      <c r="O3">
        <v>200</v>
      </c>
      <c r="P3">
        <v>0</v>
      </c>
      <c r="Q3">
        <v>0</v>
      </c>
      <c r="R3" t="s">
        <v>94</v>
      </c>
    </row>
    <row r="4" spans="1:18" x14ac:dyDescent="0.25">
      <c r="A4" t="s">
        <v>0</v>
      </c>
      <c r="B4">
        <v>5</v>
      </c>
      <c r="C4">
        <v>10</v>
      </c>
      <c r="D4" s="1" t="s">
        <v>19</v>
      </c>
      <c r="E4" s="1" t="s">
        <v>18</v>
      </c>
      <c r="F4" s="1">
        <v>288683</v>
      </c>
      <c r="G4" s="1">
        <v>86605000</v>
      </c>
      <c r="H4" s="2" t="s">
        <v>20</v>
      </c>
      <c r="I4" t="s">
        <v>94</v>
      </c>
      <c r="J4">
        <v>60</v>
      </c>
      <c r="K4">
        <v>30</v>
      </c>
      <c r="L4">
        <v>10</v>
      </c>
      <c r="M4">
        <v>500</v>
      </c>
      <c r="N4">
        <v>200</v>
      </c>
      <c r="O4">
        <v>100</v>
      </c>
      <c r="P4">
        <v>0</v>
      </c>
      <c r="Q4">
        <v>0</v>
      </c>
      <c r="R4" t="s">
        <v>94</v>
      </c>
    </row>
    <row r="5" spans="1:18" x14ac:dyDescent="0.25">
      <c r="A5" t="s">
        <v>1</v>
      </c>
      <c r="B5">
        <v>5</v>
      </c>
      <c r="C5">
        <v>15</v>
      </c>
      <c r="D5" s="1" t="s">
        <v>21</v>
      </c>
      <c r="E5" s="1" t="s">
        <v>18</v>
      </c>
      <c r="F5" s="1">
        <v>333333</v>
      </c>
      <c r="G5" s="1">
        <v>100000000</v>
      </c>
      <c r="H5" s="2">
        <v>0</v>
      </c>
      <c r="I5" t="s">
        <v>94</v>
      </c>
      <c r="J5">
        <v>80</v>
      </c>
      <c r="K5">
        <v>10</v>
      </c>
      <c r="L5">
        <v>10</v>
      </c>
      <c r="M5">
        <v>800</v>
      </c>
      <c r="N5">
        <v>100</v>
      </c>
      <c r="O5">
        <v>100</v>
      </c>
      <c r="P5">
        <v>0</v>
      </c>
      <c r="Q5">
        <v>0</v>
      </c>
      <c r="R5" t="s">
        <v>94</v>
      </c>
    </row>
    <row r="6" spans="1:18" x14ac:dyDescent="0.25">
      <c r="A6" t="s">
        <v>58</v>
      </c>
      <c r="B6">
        <v>5</v>
      </c>
      <c r="C6">
        <v>20</v>
      </c>
      <c r="D6" s="1" t="s">
        <v>22</v>
      </c>
      <c r="E6" s="1" t="s">
        <v>18</v>
      </c>
      <c r="F6" s="1">
        <v>333333</v>
      </c>
      <c r="G6" s="1">
        <v>100000000</v>
      </c>
      <c r="H6" s="2">
        <v>0</v>
      </c>
      <c r="I6" t="s">
        <v>94</v>
      </c>
      <c r="J6">
        <v>5</v>
      </c>
      <c r="K6">
        <v>80</v>
      </c>
      <c r="L6">
        <v>15</v>
      </c>
      <c r="M6">
        <v>200</v>
      </c>
      <c r="N6">
        <v>700</v>
      </c>
      <c r="O6">
        <v>200</v>
      </c>
      <c r="P6">
        <v>0</v>
      </c>
      <c r="Q6">
        <v>0</v>
      </c>
      <c r="R6" t="s">
        <v>94</v>
      </c>
    </row>
    <row r="7" spans="1:18" x14ac:dyDescent="0.25">
      <c r="A7" t="s">
        <v>59</v>
      </c>
      <c r="B7">
        <v>10</v>
      </c>
      <c r="C7">
        <v>5</v>
      </c>
      <c r="D7" s="1" t="s">
        <v>23</v>
      </c>
      <c r="E7" s="1" t="s">
        <v>24</v>
      </c>
      <c r="F7" s="1">
        <v>928367</v>
      </c>
      <c r="G7" s="1">
        <v>278510000</v>
      </c>
      <c r="H7" s="2" t="s">
        <v>20</v>
      </c>
      <c r="I7" t="s">
        <v>94</v>
      </c>
      <c r="J7">
        <v>50</v>
      </c>
      <c r="K7">
        <v>30</v>
      </c>
      <c r="L7">
        <v>20</v>
      </c>
      <c r="M7">
        <v>1300</v>
      </c>
      <c r="N7">
        <v>800</v>
      </c>
      <c r="O7">
        <v>500</v>
      </c>
      <c r="P7">
        <v>0</v>
      </c>
      <c r="Q7">
        <v>0</v>
      </c>
      <c r="R7" t="s">
        <v>94</v>
      </c>
    </row>
    <row r="8" spans="1:18" x14ac:dyDescent="0.25">
      <c r="A8" t="s">
        <v>60</v>
      </c>
      <c r="B8">
        <v>10</v>
      </c>
      <c r="C8">
        <v>10</v>
      </c>
      <c r="D8" s="1" t="s">
        <v>25</v>
      </c>
      <c r="E8" s="1" t="s">
        <v>24</v>
      </c>
      <c r="F8" s="1">
        <v>733947</v>
      </c>
      <c r="G8" s="1">
        <v>220184000</v>
      </c>
      <c r="H8" s="2">
        <v>1</v>
      </c>
      <c r="I8" t="s">
        <v>94</v>
      </c>
      <c r="J8">
        <v>60</v>
      </c>
      <c r="K8">
        <v>20</v>
      </c>
      <c r="L8">
        <v>20</v>
      </c>
      <c r="M8">
        <v>1000</v>
      </c>
      <c r="N8">
        <v>400</v>
      </c>
      <c r="O8">
        <v>400</v>
      </c>
      <c r="P8">
        <v>0</v>
      </c>
      <c r="Q8">
        <v>0</v>
      </c>
      <c r="R8" t="s">
        <v>94</v>
      </c>
    </row>
    <row r="9" spans="1:18" x14ac:dyDescent="0.25">
      <c r="A9" t="s">
        <v>61</v>
      </c>
      <c r="B9">
        <v>10</v>
      </c>
      <c r="C9">
        <v>15</v>
      </c>
      <c r="D9" s="1" t="s">
        <v>26</v>
      </c>
      <c r="E9" s="1" t="s">
        <v>24</v>
      </c>
      <c r="F9" s="1">
        <v>1992273</v>
      </c>
      <c r="G9" s="1">
        <v>597682000</v>
      </c>
      <c r="H9" s="2" t="s">
        <v>27</v>
      </c>
      <c r="I9" t="s">
        <v>94</v>
      </c>
      <c r="J9">
        <v>40</v>
      </c>
      <c r="K9">
        <v>10</v>
      </c>
      <c r="L9">
        <v>50</v>
      </c>
      <c r="M9">
        <v>2000</v>
      </c>
      <c r="N9">
        <v>500</v>
      </c>
      <c r="O9">
        <v>2500</v>
      </c>
      <c r="P9">
        <v>0</v>
      </c>
      <c r="Q9">
        <v>0</v>
      </c>
      <c r="R9" t="s">
        <v>94</v>
      </c>
    </row>
    <row r="10" spans="1:18" x14ac:dyDescent="0.25">
      <c r="A10" t="s">
        <v>62</v>
      </c>
      <c r="B10">
        <v>10</v>
      </c>
      <c r="C10">
        <v>20</v>
      </c>
      <c r="D10" s="1" t="s">
        <v>28</v>
      </c>
      <c r="E10" s="1" t="s">
        <v>24</v>
      </c>
      <c r="F10" s="1">
        <v>794503</v>
      </c>
      <c r="G10" s="1">
        <v>238351000</v>
      </c>
      <c r="H10" s="2" t="s">
        <v>27</v>
      </c>
      <c r="I10" t="s">
        <v>94</v>
      </c>
      <c r="J10">
        <v>10</v>
      </c>
      <c r="K10">
        <v>70</v>
      </c>
      <c r="L10">
        <v>20</v>
      </c>
      <c r="M10">
        <v>200</v>
      </c>
      <c r="N10">
        <v>200</v>
      </c>
      <c r="O10">
        <v>500</v>
      </c>
      <c r="P10">
        <v>0</v>
      </c>
      <c r="Q10">
        <v>0</v>
      </c>
      <c r="R10" t="s">
        <v>94</v>
      </c>
    </row>
    <row r="11" spans="1:18" x14ac:dyDescent="0.25">
      <c r="A11" t="s">
        <v>63</v>
      </c>
      <c r="B11">
        <v>10</v>
      </c>
      <c r="C11">
        <v>25</v>
      </c>
      <c r="D11" s="1" t="s">
        <v>29</v>
      </c>
      <c r="E11" s="1" t="s">
        <v>24</v>
      </c>
      <c r="F11" s="1">
        <v>333333</v>
      </c>
      <c r="G11" s="1">
        <v>100000000</v>
      </c>
      <c r="H11" s="2">
        <v>0</v>
      </c>
      <c r="I11" t="s">
        <v>94</v>
      </c>
      <c r="J11">
        <v>10</v>
      </c>
      <c r="K11">
        <v>70</v>
      </c>
      <c r="L11">
        <v>20</v>
      </c>
      <c r="M11">
        <v>100</v>
      </c>
      <c r="N11">
        <v>700</v>
      </c>
      <c r="O11">
        <v>200</v>
      </c>
      <c r="P11">
        <v>0</v>
      </c>
      <c r="Q11">
        <v>0</v>
      </c>
      <c r="R11" t="s">
        <v>94</v>
      </c>
    </row>
    <row r="12" spans="1:18" x14ac:dyDescent="0.25">
      <c r="A12" t="s">
        <v>64</v>
      </c>
      <c r="B12">
        <v>10</v>
      </c>
      <c r="C12">
        <v>30</v>
      </c>
      <c r="D12" s="1" t="s">
        <v>30</v>
      </c>
      <c r="E12" s="1" t="s">
        <v>24</v>
      </c>
      <c r="F12" s="1">
        <v>794503</v>
      </c>
      <c r="G12" s="1">
        <v>238351000</v>
      </c>
      <c r="H12" s="2">
        <v>0</v>
      </c>
      <c r="I12" t="s">
        <v>94</v>
      </c>
      <c r="J12">
        <v>90</v>
      </c>
      <c r="K12">
        <v>5</v>
      </c>
      <c r="L12">
        <v>5</v>
      </c>
      <c r="M12">
        <v>2000</v>
      </c>
      <c r="N12">
        <v>100</v>
      </c>
      <c r="O12">
        <v>100</v>
      </c>
      <c r="P12">
        <v>0</v>
      </c>
      <c r="Q12">
        <v>0</v>
      </c>
      <c r="R12" t="s">
        <v>94</v>
      </c>
    </row>
    <row r="13" spans="1:18" x14ac:dyDescent="0.25">
      <c r="A13" t="s">
        <v>65</v>
      </c>
      <c r="B13">
        <v>10</v>
      </c>
      <c r="C13">
        <v>35</v>
      </c>
      <c r="D13" s="1" t="s">
        <v>31</v>
      </c>
      <c r="E13" s="1" t="s">
        <v>24</v>
      </c>
      <c r="F13" s="1">
        <v>333333</v>
      </c>
      <c r="G13" s="1">
        <v>100000000</v>
      </c>
      <c r="H13" s="2">
        <v>0</v>
      </c>
      <c r="I13" t="s">
        <v>94</v>
      </c>
      <c r="J13">
        <v>50</v>
      </c>
      <c r="K13">
        <v>20</v>
      </c>
      <c r="L13">
        <v>30</v>
      </c>
      <c r="M13">
        <v>500</v>
      </c>
      <c r="N13">
        <v>200</v>
      </c>
      <c r="O13">
        <v>300</v>
      </c>
      <c r="P13">
        <v>0</v>
      </c>
      <c r="Q13">
        <v>0</v>
      </c>
      <c r="R13" t="s">
        <v>94</v>
      </c>
    </row>
    <row r="14" spans="1:18" x14ac:dyDescent="0.25">
      <c r="A14" t="s">
        <v>66</v>
      </c>
      <c r="B14">
        <v>10</v>
      </c>
      <c r="C14">
        <v>40</v>
      </c>
      <c r="D14" s="1" t="s">
        <v>32</v>
      </c>
      <c r="E14" s="1" t="s">
        <v>24</v>
      </c>
      <c r="F14" s="1">
        <v>16667</v>
      </c>
      <c r="G14" s="1">
        <v>5000000</v>
      </c>
      <c r="H14" s="2">
        <v>0</v>
      </c>
      <c r="I14" t="s">
        <v>94</v>
      </c>
      <c r="J14">
        <v>5</v>
      </c>
      <c r="K14">
        <v>80</v>
      </c>
      <c r="L14">
        <v>15</v>
      </c>
      <c r="M14">
        <v>50</v>
      </c>
      <c r="N14">
        <v>200</v>
      </c>
      <c r="O14">
        <v>100</v>
      </c>
      <c r="P14">
        <v>0</v>
      </c>
      <c r="Q14">
        <v>0</v>
      </c>
      <c r="R14" t="s">
        <v>94</v>
      </c>
    </row>
    <row r="15" spans="1:18" x14ac:dyDescent="0.25">
      <c r="A15" t="s">
        <v>67</v>
      </c>
      <c r="B15">
        <v>15</v>
      </c>
      <c r="C15">
        <v>5</v>
      </c>
      <c r="D15" s="1" t="s">
        <v>33</v>
      </c>
      <c r="E15" s="1" t="s">
        <v>34</v>
      </c>
      <c r="F15" s="1">
        <v>166667</v>
      </c>
      <c r="G15" s="1">
        <v>50000000</v>
      </c>
      <c r="H15" s="2" t="s">
        <v>27</v>
      </c>
      <c r="I15" t="s">
        <v>94</v>
      </c>
      <c r="J15">
        <v>70</v>
      </c>
      <c r="K15">
        <v>20</v>
      </c>
      <c r="L15">
        <v>10</v>
      </c>
      <c r="M15">
        <v>250</v>
      </c>
      <c r="N15">
        <v>200</v>
      </c>
      <c r="O15">
        <v>200</v>
      </c>
      <c r="P15">
        <v>0</v>
      </c>
      <c r="Q15">
        <v>0</v>
      </c>
      <c r="R15" t="s">
        <v>94</v>
      </c>
    </row>
    <row r="16" spans="1:18" x14ac:dyDescent="0.25">
      <c r="A16" t="s">
        <v>68</v>
      </c>
      <c r="B16">
        <v>20</v>
      </c>
      <c r="C16">
        <v>5</v>
      </c>
      <c r="D16" s="1" t="s">
        <v>35</v>
      </c>
      <c r="E16" s="1" t="s">
        <v>36</v>
      </c>
      <c r="F16" s="1">
        <v>917710</v>
      </c>
      <c r="G16" s="1">
        <v>275313000</v>
      </c>
      <c r="H16" s="2">
        <v>0</v>
      </c>
      <c r="I16" t="s">
        <v>94</v>
      </c>
      <c r="J16">
        <v>10</v>
      </c>
      <c r="K16">
        <v>40</v>
      </c>
      <c r="L16">
        <v>50</v>
      </c>
      <c r="M16">
        <v>300</v>
      </c>
      <c r="N16">
        <v>1000</v>
      </c>
      <c r="O16">
        <v>1200</v>
      </c>
      <c r="P16">
        <v>0</v>
      </c>
      <c r="Q16">
        <v>0</v>
      </c>
      <c r="R16" t="s">
        <v>94</v>
      </c>
    </row>
    <row r="17" spans="1:18" x14ac:dyDescent="0.25">
      <c r="A17" t="s">
        <v>69</v>
      </c>
      <c r="B17">
        <v>20</v>
      </c>
      <c r="C17">
        <v>10</v>
      </c>
      <c r="D17" s="1" t="s">
        <v>38</v>
      </c>
      <c r="E17" s="1" t="s">
        <v>36</v>
      </c>
      <c r="F17" s="1">
        <v>1042717</v>
      </c>
      <c r="G17" s="1">
        <v>312815000</v>
      </c>
      <c r="H17" s="2" t="s">
        <v>27</v>
      </c>
      <c r="I17" t="s">
        <v>94</v>
      </c>
      <c r="J17">
        <v>30</v>
      </c>
      <c r="K17">
        <v>40</v>
      </c>
      <c r="L17">
        <v>30</v>
      </c>
      <c r="M17">
        <v>900</v>
      </c>
      <c r="N17">
        <v>1000</v>
      </c>
      <c r="O17">
        <v>900</v>
      </c>
      <c r="P17">
        <v>0</v>
      </c>
      <c r="Q17">
        <v>0</v>
      </c>
      <c r="R17" t="s">
        <v>94</v>
      </c>
    </row>
    <row r="18" spans="1:18" x14ac:dyDescent="0.25">
      <c r="A18" t="s">
        <v>70</v>
      </c>
      <c r="B18">
        <v>20</v>
      </c>
      <c r="C18">
        <v>15</v>
      </c>
      <c r="D18" s="1" t="s">
        <v>39</v>
      </c>
      <c r="E18" s="1" t="s">
        <v>36</v>
      </c>
      <c r="F18" s="1">
        <v>2829010</v>
      </c>
      <c r="G18" s="1">
        <v>848703000</v>
      </c>
      <c r="H18" s="2" t="s">
        <v>27</v>
      </c>
      <c r="I18" t="s">
        <v>94</v>
      </c>
      <c r="J18">
        <v>50</v>
      </c>
      <c r="K18">
        <v>20</v>
      </c>
      <c r="L18">
        <v>30</v>
      </c>
      <c r="M18">
        <v>400</v>
      </c>
      <c r="N18">
        <v>1500</v>
      </c>
      <c r="O18">
        <v>2500</v>
      </c>
      <c r="P18">
        <v>0</v>
      </c>
      <c r="Q18">
        <v>0</v>
      </c>
      <c r="R18" t="s">
        <v>94</v>
      </c>
    </row>
    <row r="19" spans="1:18" x14ac:dyDescent="0.25">
      <c r="A19" t="s">
        <v>71</v>
      </c>
      <c r="B19">
        <v>20</v>
      </c>
      <c r="C19">
        <v>20</v>
      </c>
      <c r="D19" s="1" t="s">
        <v>40</v>
      </c>
      <c r="E19" s="1" t="s">
        <v>36</v>
      </c>
      <c r="F19" s="1">
        <v>1132530</v>
      </c>
      <c r="G19" s="1">
        <v>339759000</v>
      </c>
      <c r="H19" s="2" t="s">
        <v>27</v>
      </c>
      <c r="I19" t="s">
        <v>94</v>
      </c>
      <c r="J19">
        <v>90</v>
      </c>
      <c r="K19">
        <v>5</v>
      </c>
      <c r="L19">
        <v>5</v>
      </c>
      <c r="M19">
        <v>2800</v>
      </c>
      <c r="N19">
        <v>200</v>
      </c>
      <c r="O19">
        <v>200</v>
      </c>
      <c r="P19">
        <v>0</v>
      </c>
      <c r="Q19">
        <v>0</v>
      </c>
      <c r="R19" t="s">
        <v>94</v>
      </c>
    </row>
    <row r="20" spans="1:18" x14ac:dyDescent="0.25">
      <c r="A20" t="s">
        <v>72</v>
      </c>
      <c r="B20">
        <v>20</v>
      </c>
      <c r="C20">
        <v>25</v>
      </c>
      <c r="D20" s="1" t="s">
        <v>41</v>
      </c>
      <c r="E20" s="1" t="s">
        <v>36</v>
      </c>
      <c r="F20" s="1">
        <v>709623</v>
      </c>
      <c r="G20" s="1">
        <v>212887000</v>
      </c>
      <c r="H20" s="2">
        <v>0</v>
      </c>
      <c r="I20" t="s">
        <v>94</v>
      </c>
      <c r="J20">
        <v>70</v>
      </c>
      <c r="K20">
        <v>10</v>
      </c>
      <c r="L20">
        <v>20</v>
      </c>
      <c r="M20">
        <v>1400</v>
      </c>
      <c r="N20">
        <v>200</v>
      </c>
      <c r="O20">
        <v>400</v>
      </c>
      <c r="P20">
        <v>0</v>
      </c>
      <c r="Q20">
        <v>0</v>
      </c>
      <c r="R20" t="s">
        <v>94</v>
      </c>
    </row>
    <row r="21" spans="1:18" x14ac:dyDescent="0.25">
      <c r="A21" t="s">
        <v>73</v>
      </c>
      <c r="B21">
        <v>20</v>
      </c>
      <c r="C21">
        <v>30</v>
      </c>
      <c r="D21" s="1" t="s">
        <v>42</v>
      </c>
      <c r="E21" s="1" t="s">
        <v>36</v>
      </c>
      <c r="F21" s="1">
        <v>333333</v>
      </c>
      <c r="G21" s="1">
        <v>100000000</v>
      </c>
      <c r="H21" s="2">
        <v>0</v>
      </c>
      <c r="I21" t="s">
        <v>94</v>
      </c>
      <c r="J21">
        <v>60</v>
      </c>
      <c r="K21">
        <v>20</v>
      </c>
      <c r="L21">
        <v>20</v>
      </c>
      <c r="M21">
        <v>500</v>
      </c>
      <c r="N21">
        <v>200</v>
      </c>
      <c r="O21">
        <v>200</v>
      </c>
      <c r="P21">
        <v>0</v>
      </c>
      <c r="Q21">
        <v>0</v>
      </c>
      <c r="R21" t="s">
        <v>94</v>
      </c>
    </row>
    <row r="22" spans="1:18" x14ac:dyDescent="0.25">
      <c r="A22" t="s">
        <v>74</v>
      </c>
      <c r="B22">
        <v>20</v>
      </c>
      <c r="C22">
        <v>35</v>
      </c>
      <c r="D22" s="1" t="s">
        <v>43</v>
      </c>
      <c r="E22" s="1" t="s">
        <v>36</v>
      </c>
      <c r="F22" s="1">
        <v>333333</v>
      </c>
      <c r="G22" s="1">
        <v>100000000</v>
      </c>
      <c r="H22" s="2">
        <v>0</v>
      </c>
      <c r="I22" t="s">
        <v>94</v>
      </c>
      <c r="J22">
        <v>40</v>
      </c>
      <c r="K22">
        <v>10</v>
      </c>
      <c r="L22">
        <v>50</v>
      </c>
      <c r="M22">
        <v>400</v>
      </c>
      <c r="N22">
        <v>100</v>
      </c>
      <c r="O22">
        <v>500</v>
      </c>
      <c r="P22">
        <v>0</v>
      </c>
      <c r="Q22">
        <v>0</v>
      </c>
      <c r="R22" t="s">
        <v>94</v>
      </c>
    </row>
    <row r="23" spans="1:18" x14ac:dyDescent="0.25">
      <c r="A23" t="s">
        <v>75</v>
      </c>
      <c r="B23">
        <v>25</v>
      </c>
      <c r="C23">
        <v>5</v>
      </c>
      <c r="D23" s="1" t="s">
        <v>44</v>
      </c>
      <c r="E23" s="1" t="s">
        <v>45</v>
      </c>
      <c r="F23" s="1">
        <v>333333</v>
      </c>
      <c r="G23" s="1">
        <v>100000000</v>
      </c>
      <c r="H23" s="2">
        <v>0</v>
      </c>
      <c r="I23" t="s">
        <v>94</v>
      </c>
      <c r="J23">
        <v>20</v>
      </c>
      <c r="K23">
        <v>30</v>
      </c>
      <c r="L23">
        <v>50</v>
      </c>
      <c r="M23">
        <v>200</v>
      </c>
      <c r="N23">
        <v>300</v>
      </c>
      <c r="O23">
        <v>500</v>
      </c>
      <c r="P23">
        <v>0</v>
      </c>
      <c r="Q23">
        <v>0</v>
      </c>
      <c r="R23" t="s">
        <v>94</v>
      </c>
    </row>
    <row r="24" spans="1:18" x14ac:dyDescent="0.25">
      <c r="A24" t="s">
        <v>76</v>
      </c>
      <c r="B24">
        <v>25</v>
      </c>
      <c r="C24">
        <v>10</v>
      </c>
      <c r="D24" s="1" t="s">
        <v>46</v>
      </c>
      <c r="E24" s="1" t="s">
        <v>45</v>
      </c>
      <c r="F24" s="1">
        <v>333333</v>
      </c>
      <c r="G24" s="1">
        <v>100000000</v>
      </c>
      <c r="H24" s="2">
        <v>0</v>
      </c>
      <c r="I24" t="s">
        <v>94</v>
      </c>
      <c r="J24">
        <v>10</v>
      </c>
      <c r="K24">
        <v>40</v>
      </c>
      <c r="L24">
        <v>50</v>
      </c>
      <c r="M24">
        <v>100</v>
      </c>
      <c r="N24">
        <v>400</v>
      </c>
      <c r="O24">
        <v>500</v>
      </c>
      <c r="P24">
        <v>0</v>
      </c>
      <c r="Q24">
        <v>0</v>
      </c>
      <c r="R24" t="s">
        <v>94</v>
      </c>
    </row>
    <row r="25" spans="1:18" x14ac:dyDescent="0.25">
      <c r="A25" t="s">
        <v>77</v>
      </c>
      <c r="B25">
        <v>25</v>
      </c>
      <c r="C25">
        <v>15</v>
      </c>
      <c r="D25" s="1" t="s">
        <v>47</v>
      </c>
      <c r="E25" s="1" t="s">
        <v>45</v>
      </c>
      <c r="F25" s="1">
        <v>333333</v>
      </c>
      <c r="G25" s="1">
        <v>100000000</v>
      </c>
      <c r="H25" s="2">
        <v>0</v>
      </c>
      <c r="I25" t="s">
        <v>94</v>
      </c>
      <c r="J25">
        <v>50</v>
      </c>
      <c r="K25">
        <v>30</v>
      </c>
      <c r="L25">
        <v>20</v>
      </c>
      <c r="M25">
        <v>500</v>
      </c>
      <c r="N25">
        <v>300</v>
      </c>
      <c r="O25">
        <v>200</v>
      </c>
      <c r="P25">
        <v>0</v>
      </c>
      <c r="Q25">
        <v>0</v>
      </c>
      <c r="R25" t="s">
        <v>94</v>
      </c>
    </row>
    <row r="26" spans="1:18" x14ac:dyDescent="0.25">
      <c r="A26" t="s">
        <v>78</v>
      </c>
      <c r="B26">
        <v>25</v>
      </c>
      <c r="C26">
        <v>20</v>
      </c>
      <c r="D26" s="1" t="s">
        <v>48</v>
      </c>
      <c r="E26" s="1" t="s">
        <v>45</v>
      </c>
      <c r="F26" s="1">
        <v>333333</v>
      </c>
      <c r="G26" s="1">
        <v>100000000</v>
      </c>
      <c r="H26" s="2">
        <v>0</v>
      </c>
      <c r="I26" t="s">
        <v>94</v>
      </c>
      <c r="J26">
        <v>70</v>
      </c>
      <c r="K26">
        <v>20</v>
      </c>
      <c r="L26">
        <v>10</v>
      </c>
      <c r="M26">
        <v>600</v>
      </c>
      <c r="N26">
        <v>200</v>
      </c>
      <c r="O26">
        <v>100</v>
      </c>
      <c r="P26">
        <v>0</v>
      </c>
      <c r="Q26">
        <v>0</v>
      </c>
      <c r="R26" t="s">
        <v>94</v>
      </c>
    </row>
    <row r="27" spans="1:18" x14ac:dyDescent="0.25">
      <c r="A27" t="s">
        <v>79</v>
      </c>
      <c r="B27">
        <v>25</v>
      </c>
      <c r="C27">
        <v>25</v>
      </c>
      <c r="D27" s="1" t="s">
        <v>49</v>
      </c>
      <c r="E27" s="1" t="s">
        <v>45</v>
      </c>
      <c r="F27" s="1">
        <v>333333</v>
      </c>
      <c r="G27" s="1">
        <v>100000000</v>
      </c>
      <c r="H27" s="2">
        <v>0</v>
      </c>
      <c r="I27" t="s">
        <v>94</v>
      </c>
      <c r="J27">
        <v>30</v>
      </c>
      <c r="K27">
        <v>40</v>
      </c>
      <c r="L27">
        <v>30</v>
      </c>
      <c r="M27">
        <v>300</v>
      </c>
      <c r="N27">
        <v>400</v>
      </c>
      <c r="O27">
        <v>300</v>
      </c>
      <c r="P27">
        <v>0</v>
      </c>
      <c r="Q27">
        <v>0</v>
      </c>
      <c r="R27" t="s">
        <v>94</v>
      </c>
    </row>
    <row r="28" spans="1:18" x14ac:dyDescent="0.25">
      <c r="A28" t="s">
        <v>80</v>
      </c>
      <c r="B28">
        <v>25</v>
      </c>
      <c r="C28">
        <v>30</v>
      </c>
      <c r="D28" s="1" t="s">
        <v>50</v>
      </c>
      <c r="E28" s="1" t="s">
        <v>45</v>
      </c>
      <c r="F28" s="1">
        <v>333333</v>
      </c>
      <c r="G28" s="1">
        <v>100000000</v>
      </c>
      <c r="H28" s="2">
        <v>0</v>
      </c>
      <c r="I28" t="s">
        <v>94</v>
      </c>
      <c r="J28">
        <v>50</v>
      </c>
      <c r="K28">
        <v>20</v>
      </c>
      <c r="L28">
        <v>30</v>
      </c>
      <c r="M28">
        <v>500</v>
      </c>
      <c r="N28">
        <v>200</v>
      </c>
      <c r="O28">
        <v>300</v>
      </c>
      <c r="P28">
        <v>0</v>
      </c>
      <c r="Q28">
        <v>0</v>
      </c>
      <c r="R28" t="s">
        <v>94</v>
      </c>
    </row>
    <row r="29" spans="1:18" x14ac:dyDescent="0.25">
      <c r="A29" t="s">
        <v>81</v>
      </c>
      <c r="B29">
        <v>30</v>
      </c>
      <c r="C29">
        <v>35</v>
      </c>
      <c r="D29" s="1" t="s">
        <v>51</v>
      </c>
      <c r="E29" s="1" t="s">
        <v>52</v>
      </c>
      <c r="F29" s="1">
        <v>727070</v>
      </c>
      <c r="G29" s="1">
        <v>218121000</v>
      </c>
      <c r="H29" s="3" t="s">
        <v>27</v>
      </c>
      <c r="I29" t="s">
        <v>94</v>
      </c>
      <c r="J29">
        <v>20</v>
      </c>
      <c r="K29">
        <v>30</v>
      </c>
      <c r="L29">
        <v>50</v>
      </c>
      <c r="M29">
        <v>500</v>
      </c>
      <c r="N29">
        <v>500</v>
      </c>
      <c r="O29">
        <v>500</v>
      </c>
      <c r="P29">
        <v>0</v>
      </c>
      <c r="Q29">
        <v>0</v>
      </c>
      <c r="R29" t="s">
        <v>94</v>
      </c>
    </row>
    <row r="30" spans="1:18" x14ac:dyDescent="0.25">
      <c r="A30" t="s">
        <v>82</v>
      </c>
      <c r="B30">
        <v>35</v>
      </c>
      <c r="C30">
        <v>40</v>
      </c>
      <c r="D30" s="1" t="s">
        <v>53</v>
      </c>
      <c r="E30" s="1" t="s">
        <v>54</v>
      </c>
      <c r="F30" s="1">
        <v>475790</v>
      </c>
      <c r="G30" s="1">
        <v>142737000</v>
      </c>
      <c r="H30" s="2" t="s">
        <v>37</v>
      </c>
      <c r="I30" t="s">
        <v>94</v>
      </c>
      <c r="J30">
        <v>50</v>
      </c>
      <c r="K30">
        <v>20</v>
      </c>
      <c r="L30">
        <v>30</v>
      </c>
      <c r="M30">
        <v>700</v>
      </c>
      <c r="N30">
        <v>300</v>
      </c>
      <c r="O30">
        <v>400</v>
      </c>
      <c r="P30">
        <v>0</v>
      </c>
      <c r="Q30">
        <v>0</v>
      </c>
      <c r="R30" t="s">
        <v>94</v>
      </c>
    </row>
    <row r="31" spans="1:18" x14ac:dyDescent="0.25">
      <c r="A31" t="s">
        <v>83</v>
      </c>
      <c r="B31">
        <v>35</v>
      </c>
      <c r="C31">
        <v>45</v>
      </c>
      <c r="D31" s="1" t="s">
        <v>55</v>
      </c>
      <c r="E31" s="1" t="s">
        <v>54</v>
      </c>
      <c r="F31" s="1">
        <v>333333</v>
      </c>
      <c r="G31" s="1">
        <v>100000000</v>
      </c>
      <c r="H31" s="2" t="s">
        <v>27</v>
      </c>
      <c r="I31" t="s">
        <v>94</v>
      </c>
      <c r="J31">
        <v>5</v>
      </c>
      <c r="K31">
        <v>80</v>
      </c>
      <c r="L31">
        <v>15</v>
      </c>
      <c r="M31">
        <v>100</v>
      </c>
      <c r="N31">
        <v>700</v>
      </c>
      <c r="O31">
        <v>100</v>
      </c>
      <c r="P31">
        <v>0</v>
      </c>
      <c r="Q31">
        <v>0</v>
      </c>
      <c r="R31" t="s">
        <v>94</v>
      </c>
    </row>
    <row r="32" spans="1:18" x14ac:dyDescent="0.25">
      <c r="A32" t="s">
        <v>84</v>
      </c>
      <c r="B32">
        <v>35</v>
      </c>
      <c r="C32">
        <v>50</v>
      </c>
      <c r="D32" s="1" t="s">
        <v>56</v>
      </c>
      <c r="E32" s="1" t="s">
        <v>54</v>
      </c>
      <c r="F32" s="1">
        <v>333333</v>
      </c>
      <c r="G32" s="1">
        <v>100000000</v>
      </c>
      <c r="H32" s="2">
        <v>0</v>
      </c>
      <c r="I32" t="s">
        <v>94</v>
      </c>
      <c r="J32">
        <v>60</v>
      </c>
      <c r="K32">
        <v>30</v>
      </c>
      <c r="L32">
        <v>10</v>
      </c>
      <c r="M32">
        <v>500</v>
      </c>
      <c r="N32">
        <v>300</v>
      </c>
      <c r="O32">
        <v>100</v>
      </c>
      <c r="P32">
        <v>0</v>
      </c>
      <c r="Q32">
        <v>0</v>
      </c>
      <c r="R32" t="s">
        <v>94</v>
      </c>
    </row>
    <row r="33" spans="1:18" x14ac:dyDescent="0.25">
      <c r="A33" t="s">
        <v>85</v>
      </c>
      <c r="B33">
        <v>35</v>
      </c>
      <c r="C33">
        <v>55</v>
      </c>
      <c r="D33" s="1" t="s">
        <v>57</v>
      </c>
      <c r="E33" s="1" t="s">
        <v>54</v>
      </c>
      <c r="F33" s="1">
        <v>333333</v>
      </c>
      <c r="G33" s="1">
        <v>100000000</v>
      </c>
      <c r="H33" s="2">
        <v>0</v>
      </c>
      <c r="I33" t="s">
        <v>94</v>
      </c>
      <c r="J33">
        <v>70</v>
      </c>
      <c r="K33">
        <v>10</v>
      </c>
      <c r="L33">
        <v>20</v>
      </c>
      <c r="M33">
        <v>600</v>
      </c>
      <c r="N33">
        <v>100</v>
      </c>
      <c r="O33">
        <v>200</v>
      </c>
      <c r="P33">
        <v>0</v>
      </c>
      <c r="Q33">
        <v>0</v>
      </c>
      <c r="R33" t="s">
        <v>94</v>
      </c>
    </row>
    <row r="34" spans="1:18" x14ac:dyDescent="0.25">
      <c r="F34" s="1"/>
      <c r="G34" s="1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"/>
  <dimension ref="A1:R34"/>
  <sheetViews>
    <sheetView workbookViewId="0">
      <selection activeCell="I36" sqref="I36"/>
    </sheetView>
  </sheetViews>
  <sheetFormatPr defaultRowHeight="15" x14ac:dyDescent="0.25"/>
  <cols>
    <col min="1" max="1" width="13.42578125" customWidth="1"/>
    <col min="2" max="2" width="11.28515625" customWidth="1"/>
    <col min="3" max="3" width="6.42578125" customWidth="1"/>
    <col min="4" max="4" width="43.7109375" bestFit="1" customWidth="1"/>
    <col min="5" max="5" width="17.5703125" bestFit="1" customWidth="1"/>
    <col min="6" max="6" width="10.140625" bestFit="1" customWidth="1"/>
    <col min="7" max="7" width="10.140625" customWidth="1"/>
    <col min="8" max="8" width="10.5703125" style="2" customWidth="1"/>
    <col min="9" max="9" width="10.42578125" bestFit="1" customWidth="1"/>
    <col min="10" max="10" width="13.28515625" bestFit="1" customWidth="1"/>
    <col min="11" max="11" width="12.85546875" bestFit="1" customWidth="1"/>
    <col min="12" max="12" width="13.5703125" bestFit="1" customWidth="1"/>
    <col min="13" max="15" width="13.5703125" customWidth="1"/>
    <col min="16" max="16" width="16.7109375" bestFit="1" customWidth="1"/>
    <col min="17" max="17" width="20.140625" bestFit="1" customWidth="1"/>
    <col min="18" max="18" width="10.42578125" bestFit="1" customWidth="1"/>
  </cols>
  <sheetData>
    <row r="1" spans="1:18" x14ac:dyDescent="0.25">
      <c r="B1" t="s">
        <v>6</v>
      </c>
      <c r="C1" t="s">
        <v>7</v>
      </c>
      <c r="D1" t="s">
        <v>2</v>
      </c>
      <c r="E1" t="s">
        <v>3</v>
      </c>
      <c r="F1" t="s">
        <v>109</v>
      </c>
      <c r="G1" t="s">
        <v>8</v>
      </c>
      <c r="H1" s="2" t="s">
        <v>4</v>
      </c>
      <c r="I1" t="s">
        <v>5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108</v>
      </c>
    </row>
    <row r="2" spans="1:18" x14ac:dyDescent="0.25">
      <c r="B2" t="s">
        <v>110</v>
      </c>
      <c r="C2" t="s">
        <v>110</v>
      </c>
      <c r="D2" t="s">
        <v>111</v>
      </c>
      <c r="E2" t="s">
        <v>111</v>
      </c>
      <c r="F2" t="s">
        <v>110</v>
      </c>
      <c r="G2" t="s">
        <v>110</v>
      </c>
      <c r="H2" s="2" t="s">
        <v>110</v>
      </c>
      <c r="I2" s="2" t="s">
        <v>111</v>
      </c>
      <c r="J2" s="2" t="s">
        <v>110</v>
      </c>
      <c r="K2" s="2" t="s">
        <v>110</v>
      </c>
      <c r="L2" s="2" t="s">
        <v>110</v>
      </c>
      <c r="M2" s="2" t="s">
        <v>110</v>
      </c>
      <c r="N2" s="2" t="s">
        <v>110</v>
      </c>
      <c r="O2" s="2" t="s">
        <v>110</v>
      </c>
      <c r="P2" s="2" t="s">
        <v>110</v>
      </c>
      <c r="Q2" s="2" t="s">
        <v>110</v>
      </c>
      <c r="R2" s="2" t="s">
        <v>111</v>
      </c>
    </row>
    <row r="3" spans="1:18" x14ac:dyDescent="0.25">
      <c r="A3" t="s">
        <v>169</v>
      </c>
      <c r="B3">
        <v>5</v>
      </c>
      <c r="C3">
        <v>5</v>
      </c>
      <c r="D3" s="1" t="s">
        <v>17</v>
      </c>
      <c r="E3" s="1" t="s">
        <v>18</v>
      </c>
      <c r="F3" s="1">
        <v>675407</v>
      </c>
      <c r="G3" s="1">
        <v>202622000</v>
      </c>
      <c r="H3" s="2" t="s">
        <v>27</v>
      </c>
      <c r="I3" t="s">
        <v>94</v>
      </c>
      <c r="J3">
        <v>80</v>
      </c>
      <c r="K3">
        <v>10</v>
      </c>
      <c r="L3">
        <v>10</v>
      </c>
      <c r="M3">
        <v>1550</v>
      </c>
      <c r="N3">
        <v>200</v>
      </c>
      <c r="O3">
        <v>200</v>
      </c>
      <c r="P3">
        <v>0</v>
      </c>
      <c r="Q3">
        <v>0</v>
      </c>
      <c r="R3" t="s">
        <v>94</v>
      </c>
    </row>
    <row r="4" spans="1:18" x14ac:dyDescent="0.25">
      <c r="A4" t="s">
        <v>0</v>
      </c>
      <c r="B4">
        <v>5</v>
      </c>
      <c r="C4">
        <v>10</v>
      </c>
      <c r="D4" s="1" t="s">
        <v>19</v>
      </c>
      <c r="E4" s="1" t="s">
        <v>18</v>
      </c>
      <c r="F4" s="1">
        <v>288683</v>
      </c>
      <c r="G4" s="1">
        <v>86605000</v>
      </c>
      <c r="H4" s="2" t="s">
        <v>20</v>
      </c>
      <c r="I4" t="s">
        <v>94</v>
      </c>
      <c r="J4">
        <v>60</v>
      </c>
      <c r="K4">
        <v>30</v>
      </c>
      <c r="L4">
        <v>10</v>
      </c>
      <c r="M4">
        <v>550</v>
      </c>
      <c r="N4">
        <v>200</v>
      </c>
      <c r="O4">
        <v>100</v>
      </c>
      <c r="P4">
        <v>0</v>
      </c>
      <c r="Q4">
        <v>0</v>
      </c>
      <c r="R4" t="s">
        <v>94</v>
      </c>
    </row>
    <row r="5" spans="1:18" x14ac:dyDescent="0.25">
      <c r="A5" t="s">
        <v>1</v>
      </c>
      <c r="B5">
        <v>5</v>
      </c>
      <c r="C5">
        <v>15</v>
      </c>
      <c r="D5" s="1" t="s">
        <v>21</v>
      </c>
      <c r="E5" s="1" t="s">
        <v>18</v>
      </c>
      <c r="F5" s="1">
        <v>333333</v>
      </c>
      <c r="G5" s="1">
        <v>100000000</v>
      </c>
      <c r="H5" s="2">
        <v>0</v>
      </c>
      <c r="I5" t="s">
        <v>94</v>
      </c>
      <c r="J5">
        <v>80</v>
      </c>
      <c r="K5">
        <v>10</v>
      </c>
      <c r="L5">
        <v>10</v>
      </c>
      <c r="M5">
        <v>850</v>
      </c>
      <c r="N5">
        <v>100</v>
      </c>
      <c r="O5">
        <v>100</v>
      </c>
      <c r="P5">
        <v>0</v>
      </c>
      <c r="Q5">
        <v>0</v>
      </c>
      <c r="R5" t="s">
        <v>94</v>
      </c>
    </row>
    <row r="6" spans="1:18" x14ac:dyDescent="0.25">
      <c r="A6" t="s">
        <v>58</v>
      </c>
      <c r="B6">
        <v>5</v>
      </c>
      <c r="C6">
        <v>20</v>
      </c>
      <c r="D6" s="1" t="s">
        <v>22</v>
      </c>
      <c r="E6" s="1" t="s">
        <v>18</v>
      </c>
      <c r="F6" s="1">
        <v>333333</v>
      </c>
      <c r="G6" s="1">
        <v>100000000</v>
      </c>
      <c r="H6" s="2">
        <v>0</v>
      </c>
      <c r="I6" t="s">
        <v>94</v>
      </c>
      <c r="J6">
        <v>5</v>
      </c>
      <c r="K6">
        <v>80</v>
      </c>
      <c r="L6">
        <v>15</v>
      </c>
      <c r="M6">
        <v>250</v>
      </c>
      <c r="N6">
        <v>700</v>
      </c>
      <c r="O6">
        <v>200</v>
      </c>
      <c r="P6">
        <v>0</v>
      </c>
      <c r="Q6">
        <v>0</v>
      </c>
      <c r="R6" t="s">
        <v>94</v>
      </c>
    </row>
    <row r="7" spans="1:18" x14ac:dyDescent="0.25">
      <c r="A7" t="s">
        <v>59</v>
      </c>
      <c r="B7">
        <v>10</v>
      </c>
      <c r="C7">
        <v>5</v>
      </c>
      <c r="D7" s="1" t="s">
        <v>23</v>
      </c>
      <c r="E7" s="1" t="s">
        <v>24</v>
      </c>
      <c r="F7" s="1">
        <v>928367</v>
      </c>
      <c r="G7" s="1">
        <v>278510000</v>
      </c>
      <c r="H7" s="2" t="s">
        <v>20</v>
      </c>
      <c r="I7" t="s">
        <v>94</v>
      </c>
      <c r="J7">
        <v>50</v>
      </c>
      <c r="K7">
        <v>30</v>
      </c>
      <c r="L7">
        <v>20</v>
      </c>
      <c r="M7">
        <v>1300</v>
      </c>
      <c r="N7">
        <v>800</v>
      </c>
      <c r="O7">
        <v>500</v>
      </c>
      <c r="P7">
        <v>0</v>
      </c>
      <c r="Q7">
        <v>0</v>
      </c>
      <c r="R7" t="s">
        <v>94</v>
      </c>
    </row>
    <row r="8" spans="1:18" x14ac:dyDescent="0.25">
      <c r="A8" t="s">
        <v>60</v>
      </c>
      <c r="B8">
        <v>10</v>
      </c>
      <c r="C8">
        <v>10</v>
      </c>
      <c r="D8" s="1" t="s">
        <v>25</v>
      </c>
      <c r="E8" s="1" t="s">
        <v>24</v>
      </c>
      <c r="F8" s="1">
        <v>733947</v>
      </c>
      <c r="G8" s="1">
        <v>220184000</v>
      </c>
      <c r="H8" s="2">
        <v>1</v>
      </c>
      <c r="I8" t="s">
        <v>94</v>
      </c>
      <c r="J8">
        <v>60</v>
      </c>
      <c r="K8">
        <v>20</v>
      </c>
      <c r="L8">
        <v>20</v>
      </c>
      <c r="M8">
        <v>1000</v>
      </c>
      <c r="N8">
        <v>400</v>
      </c>
      <c r="O8">
        <v>400</v>
      </c>
      <c r="P8">
        <v>0</v>
      </c>
      <c r="Q8">
        <v>0</v>
      </c>
      <c r="R8" t="s">
        <v>94</v>
      </c>
    </row>
    <row r="9" spans="1:18" x14ac:dyDescent="0.25">
      <c r="A9" t="s">
        <v>61</v>
      </c>
      <c r="B9">
        <v>10</v>
      </c>
      <c r="C9">
        <v>15</v>
      </c>
      <c r="D9" s="1" t="s">
        <v>26</v>
      </c>
      <c r="E9" s="1" t="s">
        <v>24</v>
      </c>
      <c r="F9" s="1">
        <v>1992273</v>
      </c>
      <c r="G9" s="1">
        <v>597682000</v>
      </c>
      <c r="H9" s="2" t="s">
        <v>27</v>
      </c>
      <c r="I9" t="s">
        <v>94</v>
      </c>
      <c r="J9">
        <v>40</v>
      </c>
      <c r="K9">
        <v>10</v>
      </c>
      <c r="L9">
        <v>50</v>
      </c>
      <c r="M9">
        <v>2000</v>
      </c>
      <c r="N9">
        <v>500</v>
      </c>
      <c r="O9">
        <v>2500</v>
      </c>
      <c r="P9">
        <v>0</v>
      </c>
      <c r="Q9">
        <v>0</v>
      </c>
      <c r="R9" t="s">
        <v>94</v>
      </c>
    </row>
    <row r="10" spans="1:18" x14ac:dyDescent="0.25">
      <c r="A10" t="s">
        <v>62</v>
      </c>
      <c r="B10">
        <v>10</v>
      </c>
      <c r="C10">
        <v>20</v>
      </c>
      <c r="D10" s="1" t="s">
        <v>28</v>
      </c>
      <c r="E10" s="1" t="s">
        <v>24</v>
      </c>
      <c r="F10" s="1">
        <v>794503</v>
      </c>
      <c r="G10" s="1">
        <v>238351000</v>
      </c>
      <c r="H10" s="2" t="s">
        <v>27</v>
      </c>
      <c r="I10" t="s">
        <v>94</v>
      </c>
      <c r="J10">
        <v>10</v>
      </c>
      <c r="K10">
        <v>70</v>
      </c>
      <c r="L10">
        <v>20</v>
      </c>
      <c r="M10">
        <v>200</v>
      </c>
      <c r="N10">
        <v>200</v>
      </c>
      <c r="O10">
        <v>500</v>
      </c>
      <c r="P10">
        <v>0</v>
      </c>
      <c r="Q10">
        <v>0</v>
      </c>
      <c r="R10" t="s">
        <v>94</v>
      </c>
    </row>
    <row r="11" spans="1:18" x14ac:dyDescent="0.25">
      <c r="A11" t="s">
        <v>63</v>
      </c>
      <c r="B11">
        <v>10</v>
      </c>
      <c r="C11">
        <v>25</v>
      </c>
      <c r="D11" s="1" t="s">
        <v>29</v>
      </c>
      <c r="E11" s="1" t="s">
        <v>24</v>
      </c>
      <c r="F11" s="1">
        <v>333333</v>
      </c>
      <c r="G11" s="1">
        <v>100000000</v>
      </c>
      <c r="H11" s="2">
        <v>0</v>
      </c>
      <c r="I11" t="s">
        <v>94</v>
      </c>
      <c r="J11">
        <v>10</v>
      </c>
      <c r="K11">
        <v>70</v>
      </c>
      <c r="L11">
        <v>20</v>
      </c>
      <c r="M11">
        <v>100</v>
      </c>
      <c r="N11">
        <v>700</v>
      </c>
      <c r="O11">
        <v>200</v>
      </c>
      <c r="P11">
        <v>0</v>
      </c>
      <c r="Q11">
        <v>0</v>
      </c>
      <c r="R11" t="s">
        <v>94</v>
      </c>
    </row>
    <row r="12" spans="1:18" x14ac:dyDescent="0.25">
      <c r="A12" t="s">
        <v>64</v>
      </c>
      <c r="B12">
        <v>10</v>
      </c>
      <c r="C12">
        <v>30</v>
      </c>
      <c r="D12" s="1" t="s">
        <v>30</v>
      </c>
      <c r="E12" s="1" t="s">
        <v>24</v>
      </c>
      <c r="F12" s="1">
        <v>794503</v>
      </c>
      <c r="G12" s="1">
        <v>238351000</v>
      </c>
      <c r="H12" s="2">
        <v>0</v>
      </c>
      <c r="I12" t="s">
        <v>94</v>
      </c>
      <c r="J12">
        <v>90</v>
      </c>
      <c r="K12">
        <v>5</v>
      </c>
      <c r="L12">
        <v>5</v>
      </c>
      <c r="M12">
        <v>2000</v>
      </c>
      <c r="N12">
        <v>100</v>
      </c>
      <c r="O12">
        <v>100</v>
      </c>
      <c r="P12">
        <v>0</v>
      </c>
      <c r="Q12">
        <v>0</v>
      </c>
      <c r="R12" t="s">
        <v>94</v>
      </c>
    </row>
    <row r="13" spans="1:18" x14ac:dyDescent="0.25">
      <c r="A13" t="s">
        <v>65</v>
      </c>
      <c r="B13">
        <v>10</v>
      </c>
      <c r="C13">
        <v>35</v>
      </c>
      <c r="D13" s="1" t="s">
        <v>31</v>
      </c>
      <c r="E13" s="1" t="s">
        <v>24</v>
      </c>
      <c r="F13" s="1">
        <v>333333</v>
      </c>
      <c r="G13" s="1">
        <v>100000000</v>
      </c>
      <c r="H13" s="2">
        <v>0</v>
      </c>
      <c r="I13" t="s">
        <v>94</v>
      </c>
      <c r="J13">
        <v>50</v>
      </c>
      <c r="K13">
        <v>20</v>
      </c>
      <c r="L13">
        <v>30</v>
      </c>
      <c r="M13">
        <v>500</v>
      </c>
      <c r="N13">
        <v>200</v>
      </c>
      <c r="O13">
        <v>300</v>
      </c>
      <c r="P13">
        <v>0</v>
      </c>
      <c r="Q13">
        <v>0</v>
      </c>
      <c r="R13" t="s">
        <v>94</v>
      </c>
    </row>
    <row r="14" spans="1:18" x14ac:dyDescent="0.25">
      <c r="A14" t="s">
        <v>66</v>
      </c>
      <c r="B14">
        <v>10</v>
      </c>
      <c r="C14">
        <v>40</v>
      </c>
      <c r="D14" s="1" t="s">
        <v>32</v>
      </c>
      <c r="E14" s="1" t="s">
        <v>24</v>
      </c>
      <c r="F14" s="1">
        <v>16667</v>
      </c>
      <c r="G14" s="1">
        <v>5000000</v>
      </c>
      <c r="H14" s="2">
        <v>0</v>
      </c>
      <c r="I14" t="s">
        <v>94</v>
      </c>
      <c r="J14">
        <v>5</v>
      </c>
      <c r="K14">
        <v>80</v>
      </c>
      <c r="L14">
        <v>15</v>
      </c>
      <c r="M14">
        <v>50</v>
      </c>
      <c r="N14">
        <v>200</v>
      </c>
      <c r="O14">
        <v>100</v>
      </c>
      <c r="P14">
        <v>0</v>
      </c>
      <c r="Q14">
        <v>0</v>
      </c>
      <c r="R14" t="s">
        <v>94</v>
      </c>
    </row>
    <row r="15" spans="1:18" x14ac:dyDescent="0.25">
      <c r="A15" t="s">
        <v>67</v>
      </c>
      <c r="B15">
        <v>15</v>
      </c>
      <c r="C15">
        <v>5</v>
      </c>
      <c r="D15" s="1" t="s">
        <v>33</v>
      </c>
      <c r="E15" s="1" t="s">
        <v>34</v>
      </c>
      <c r="F15" s="1">
        <v>166667</v>
      </c>
      <c r="G15" s="1">
        <v>50000000</v>
      </c>
      <c r="H15" s="2" t="s">
        <v>27</v>
      </c>
      <c r="I15" t="s">
        <v>94</v>
      </c>
      <c r="J15">
        <v>70</v>
      </c>
      <c r="K15">
        <v>20</v>
      </c>
      <c r="L15">
        <v>10</v>
      </c>
      <c r="M15">
        <v>250</v>
      </c>
      <c r="N15">
        <v>200</v>
      </c>
      <c r="O15">
        <v>200</v>
      </c>
      <c r="P15">
        <v>0</v>
      </c>
      <c r="Q15">
        <v>0</v>
      </c>
      <c r="R15" t="s">
        <v>94</v>
      </c>
    </row>
    <row r="16" spans="1:18" x14ac:dyDescent="0.25">
      <c r="A16" t="s">
        <v>68</v>
      </c>
      <c r="B16">
        <v>20</v>
      </c>
      <c r="C16">
        <v>5</v>
      </c>
      <c r="D16" s="1" t="s">
        <v>35</v>
      </c>
      <c r="E16" s="1" t="s">
        <v>36</v>
      </c>
      <c r="F16" s="1">
        <v>917710</v>
      </c>
      <c r="G16" s="1">
        <v>275313000</v>
      </c>
      <c r="H16" s="2">
        <v>0</v>
      </c>
      <c r="I16" t="s">
        <v>94</v>
      </c>
      <c r="J16">
        <v>10</v>
      </c>
      <c r="K16">
        <v>40</v>
      </c>
      <c r="L16">
        <v>50</v>
      </c>
      <c r="M16">
        <v>300</v>
      </c>
      <c r="N16">
        <v>1000</v>
      </c>
      <c r="O16">
        <v>1200</v>
      </c>
      <c r="P16">
        <v>0</v>
      </c>
      <c r="Q16">
        <v>0</v>
      </c>
      <c r="R16" t="s">
        <v>94</v>
      </c>
    </row>
    <row r="17" spans="1:18" x14ac:dyDescent="0.25">
      <c r="A17" t="s">
        <v>69</v>
      </c>
      <c r="B17">
        <v>20</v>
      </c>
      <c r="C17">
        <v>10</v>
      </c>
      <c r="D17" s="1" t="s">
        <v>38</v>
      </c>
      <c r="E17" s="1" t="s">
        <v>36</v>
      </c>
      <c r="F17" s="1">
        <v>1042717</v>
      </c>
      <c r="G17" s="1">
        <v>312815000</v>
      </c>
      <c r="H17" s="2" t="s">
        <v>27</v>
      </c>
      <c r="I17" t="s">
        <v>94</v>
      </c>
      <c r="J17">
        <v>30</v>
      </c>
      <c r="K17">
        <v>40</v>
      </c>
      <c r="L17">
        <v>30</v>
      </c>
      <c r="M17">
        <v>900</v>
      </c>
      <c r="N17">
        <v>1000</v>
      </c>
      <c r="O17">
        <v>900</v>
      </c>
      <c r="P17">
        <v>0</v>
      </c>
      <c r="Q17">
        <v>0</v>
      </c>
      <c r="R17" t="s">
        <v>94</v>
      </c>
    </row>
    <row r="18" spans="1:18" x14ac:dyDescent="0.25">
      <c r="A18" t="s">
        <v>70</v>
      </c>
      <c r="B18">
        <v>20</v>
      </c>
      <c r="C18">
        <v>15</v>
      </c>
      <c r="D18" s="1" t="s">
        <v>39</v>
      </c>
      <c r="E18" s="1" t="s">
        <v>36</v>
      </c>
      <c r="F18" s="1">
        <v>2829010</v>
      </c>
      <c r="G18" s="1">
        <v>848703000</v>
      </c>
      <c r="H18" s="2" t="s">
        <v>27</v>
      </c>
      <c r="I18" t="s">
        <v>94</v>
      </c>
      <c r="J18">
        <v>50</v>
      </c>
      <c r="K18">
        <v>20</v>
      </c>
      <c r="L18">
        <v>30</v>
      </c>
      <c r="M18">
        <v>400</v>
      </c>
      <c r="N18">
        <v>1500</v>
      </c>
      <c r="O18">
        <v>2500</v>
      </c>
      <c r="P18">
        <v>0</v>
      </c>
      <c r="Q18">
        <v>0</v>
      </c>
      <c r="R18" t="s">
        <v>94</v>
      </c>
    </row>
    <row r="19" spans="1:18" x14ac:dyDescent="0.25">
      <c r="A19" t="s">
        <v>71</v>
      </c>
      <c r="B19">
        <v>20</v>
      </c>
      <c r="C19">
        <v>20</v>
      </c>
      <c r="D19" s="1" t="s">
        <v>40</v>
      </c>
      <c r="E19" s="1" t="s">
        <v>36</v>
      </c>
      <c r="F19" s="1">
        <v>1132530</v>
      </c>
      <c r="G19" s="1">
        <v>339759000</v>
      </c>
      <c r="H19" s="2" t="s">
        <v>27</v>
      </c>
      <c r="I19" t="s">
        <v>94</v>
      </c>
      <c r="J19">
        <v>90</v>
      </c>
      <c r="K19">
        <v>5</v>
      </c>
      <c r="L19">
        <v>5</v>
      </c>
      <c r="M19">
        <v>2800</v>
      </c>
      <c r="N19">
        <v>200</v>
      </c>
      <c r="O19">
        <v>200</v>
      </c>
      <c r="P19">
        <v>0</v>
      </c>
      <c r="Q19">
        <v>0</v>
      </c>
      <c r="R19" t="s">
        <v>94</v>
      </c>
    </row>
    <row r="20" spans="1:18" x14ac:dyDescent="0.25">
      <c r="A20" t="s">
        <v>72</v>
      </c>
      <c r="B20">
        <v>20</v>
      </c>
      <c r="C20">
        <v>25</v>
      </c>
      <c r="D20" s="1" t="s">
        <v>41</v>
      </c>
      <c r="E20" s="1" t="s">
        <v>36</v>
      </c>
      <c r="F20" s="1">
        <v>709623</v>
      </c>
      <c r="G20" s="1">
        <v>212887000</v>
      </c>
      <c r="H20" s="2">
        <v>0</v>
      </c>
      <c r="I20" t="s">
        <v>94</v>
      </c>
      <c r="J20">
        <v>70</v>
      </c>
      <c r="K20">
        <v>10</v>
      </c>
      <c r="L20">
        <v>20</v>
      </c>
      <c r="M20">
        <v>1400</v>
      </c>
      <c r="N20">
        <v>200</v>
      </c>
      <c r="O20">
        <v>400</v>
      </c>
      <c r="P20">
        <v>0</v>
      </c>
      <c r="Q20">
        <v>0</v>
      </c>
      <c r="R20" t="s">
        <v>94</v>
      </c>
    </row>
    <row r="21" spans="1:18" x14ac:dyDescent="0.25">
      <c r="A21" t="s">
        <v>73</v>
      </c>
      <c r="B21">
        <v>20</v>
      </c>
      <c r="C21">
        <v>30</v>
      </c>
      <c r="D21" s="1" t="s">
        <v>42</v>
      </c>
      <c r="E21" s="1" t="s">
        <v>36</v>
      </c>
      <c r="F21" s="1">
        <v>333333</v>
      </c>
      <c r="G21" s="1">
        <v>100000000</v>
      </c>
      <c r="H21" s="2">
        <v>0</v>
      </c>
      <c r="I21" t="s">
        <v>94</v>
      </c>
      <c r="J21">
        <v>60</v>
      </c>
      <c r="K21">
        <v>20</v>
      </c>
      <c r="L21">
        <v>20</v>
      </c>
      <c r="M21">
        <v>500</v>
      </c>
      <c r="N21">
        <v>200</v>
      </c>
      <c r="O21">
        <v>200</v>
      </c>
      <c r="P21">
        <v>0</v>
      </c>
      <c r="Q21">
        <v>0</v>
      </c>
      <c r="R21" t="s">
        <v>94</v>
      </c>
    </row>
    <row r="22" spans="1:18" x14ac:dyDescent="0.25">
      <c r="A22" t="s">
        <v>74</v>
      </c>
      <c r="B22">
        <v>20</v>
      </c>
      <c r="C22">
        <v>35</v>
      </c>
      <c r="D22" s="1" t="s">
        <v>43</v>
      </c>
      <c r="E22" s="1" t="s">
        <v>36</v>
      </c>
      <c r="F22" s="1">
        <v>333333</v>
      </c>
      <c r="G22" s="1">
        <v>100000000</v>
      </c>
      <c r="H22" s="2">
        <v>0</v>
      </c>
      <c r="I22" t="s">
        <v>94</v>
      </c>
      <c r="J22">
        <v>40</v>
      </c>
      <c r="K22">
        <v>10</v>
      </c>
      <c r="L22">
        <v>50</v>
      </c>
      <c r="M22">
        <v>400</v>
      </c>
      <c r="N22">
        <v>100</v>
      </c>
      <c r="O22">
        <v>500</v>
      </c>
      <c r="P22">
        <v>0</v>
      </c>
      <c r="Q22">
        <v>0</v>
      </c>
      <c r="R22" t="s">
        <v>94</v>
      </c>
    </row>
    <row r="23" spans="1:18" x14ac:dyDescent="0.25">
      <c r="A23" t="s">
        <v>75</v>
      </c>
      <c r="B23">
        <v>25</v>
      </c>
      <c r="C23">
        <v>5</v>
      </c>
      <c r="D23" s="1" t="s">
        <v>44</v>
      </c>
      <c r="E23" s="1" t="s">
        <v>45</v>
      </c>
      <c r="F23" s="1">
        <v>333333</v>
      </c>
      <c r="G23" s="1">
        <v>100000000</v>
      </c>
      <c r="H23" s="2">
        <v>0</v>
      </c>
      <c r="I23" t="s">
        <v>94</v>
      </c>
      <c r="J23">
        <v>20</v>
      </c>
      <c r="K23">
        <v>30</v>
      </c>
      <c r="L23">
        <v>50</v>
      </c>
      <c r="M23">
        <v>200</v>
      </c>
      <c r="N23">
        <v>300</v>
      </c>
      <c r="O23">
        <v>500</v>
      </c>
      <c r="P23">
        <v>0</v>
      </c>
      <c r="Q23">
        <v>0</v>
      </c>
      <c r="R23" t="s">
        <v>94</v>
      </c>
    </row>
    <row r="24" spans="1:18" x14ac:dyDescent="0.25">
      <c r="A24" t="s">
        <v>76</v>
      </c>
      <c r="B24">
        <v>25</v>
      </c>
      <c r="C24">
        <v>10</v>
      </c>
      <c r="D24" s="1" t="s">
        <v>46</v>
      </c>
      <c r="E24" s="1" t="s">
        <v>45</v>
      </c>
      <c r="F24" s="1">
        <v>333333</v>
      </c>
      <c r="G24" s="1">
        <v>100000000</v>
      </c>
      <c r="H24" s="2">
        <v>0</v>
      </c>
      <c r="I24" t="s">
        <v>94</v>
      </c>
      <c r="J24">
        <v>10</v>
      </c>
      <c r="K24">
        <v>40</v>
      </c>
      <c r="L24">
        <v>50</v>
      </c>
      <c r="M24">
        <v>100</v>
      </c>
      <c r="N24">
        <v>400</v>
      </c>
      <c r="O24">
        <v>500</v>
      </c>
      <c r="P24">
        <v>0</v>
      </c>
      <c r="Q24">
        <v>0</v>
      </c>
      <c r="R24" t="s">
        <v>94</v>
      </c>
    </row>
    <row r="25" spans="1:18" x14ac:dyDescent="0.25">
      <c r="A25" t="s">
        <v>77</v>
      </c>
      <c r="B25">
        <v>25</v>
      </c>
      <c r="C25">
        <v>15</v>
      </c>
      <c r="D25" s="1" t="s">
        <v>47</v>
      </c>
      <c r="E25" s="1" t="s">
        <v>45</v>
      </c>
      <c r="F25" s="1">
        <v>333333</v>
      </c>
      <c r="G25" s="1">
        <v>100000000</v>
      </c>
      <c r="H25" s="2">
        <v>0</v>
      </c>
      <c r="I25" t="s">
        <v>94</v>
      </c>
      <c r="J25">
        <v>50</v>
      </c>
      <c r="K25">
        <v>30</v>
      </c>
      <c r="L25">
        <v>20</v>
      </c>
      <c r="M25">
        <v>500</v>
      </c>
      <c r="N25">
        <v>300</v>
      </c>
      <c r="O25">
        <v>200</v>
      </c>
      <c r="P25">
        <v>0</v>
      </c>
      <c r="Q25">
        <v>0</v>
      </c>
      <c r="R25" t="s">
        <v>94</v>
      </c>
    </row>
    <row r="26" spans="1:18" x14ac:dyDescent="0.25">
      <c r="A26" t="s">
        <v>78</v>
      </c>
      <c r="B26">
        <v>25</v>
      </c>
      <c r="C26">
        <v>20</v>
      </c>
      <c r="D26" s="1" t="s">
        <v>48</v>
      </c>
      <c r="E26" s="1" t="s">
        <v>45</v>
      </c>
      <c r="F26" s="1">
        <v>333333</v>
      </c>
      <c r="G26" s="1">
        <v>100000000</v>
      </c>
      <c r="H26" s="2">
        <v>0</v>
      </c>
      <c r="I26" t="s">
        <v>94</v>
      </c>
      <c r="J26">
        <v>70</v>
      </c>
      <c r="K26">
        <v>20</v>
      </c>
      <c r="L26">
        <v>10</v>
      </c>
      <c r="M26">
        <v>600</v>
      </c>
      <c r="N26">
        <v>200</v>
      </c>
      <c r="O26">
        <v>100</v>
      </c>
      <c r="P26">
        <v>0</v>
      </c>
      <c r="Q26">
        <v>0</v>
      </c>
      <c r="R26" t="s">
        <v>94</v>
      </c>
    </row>
    <row r="27" spans="1:18" x14ac:dyDescent="0.25">
      <c r="A27" t="s">
        <v>79</v>
      </c>
      <c r="B27">
        <v>25</v>
      </c>
      <c r="C27">
        <v>25</v>
      </c>
      <c r="D27" s="1" t="s">
        <v>49</v>
      </c>
      <c r="E27" s="1" t="s">
        <v>45</v>
      </c>
      <c r="F27" s="1">
        <v>333333</v>
      </c>
      <c r="G27" s="1">
        <v>100000000</v>
      </c>
      <c r="H27" s="2">
        <v>0</v>
      </c>
      <c r="I27" t="s">
        <v>94</v>
      </c>
      <c r="J27">
        <v>30</v>
      </c>
      <c r="K27">
        <v>40</v>
      </c>
      <c r="L27">
        <v>30</v>
      </c>
      <c r="M27">
        <v>300</v>
      </c>
      <c r="N27">
        <v>400</v>
      </c>
      <c r="O27">
        <v>300</v>
      </c>
      <c r="P27">
        <v>0</v>
      </c>
      <c r="Q27">
        <v>0</v>
      </c>
      <c r="R27" t="s">
        <v>94</v>
      </c>
    </row>
    <row r="28" spans="1:18" x14ac:dyDescent="0.25">
      <c r="A28" t="s">
        <v>80</v>
      </c>
      <c r="B28">
        <v>25</v>
      </c>
      <c r="C28">
        <v>30</v>
      </c>
      <c r="D28" s="1" t="s">
        <v>50</v>
      </c>
      <c r="E28" s="1" t="s">
        <v>45</v>
      </c>
      <c r="F28" s="1">
        <v>333333</v>
      </c>
      <c r="G28" s="1">
        <v>100000000</v>
      </c>
      <c r="H28" s="2">
        <v>0</v>
      </c>
      <c r="I28" t="s">
        <v>94</v>
      </c>
      <c r="J28">
        <v>50</v>
      </c>
      <c r="K28">
        <v>20</v>
      </c>
      <c r="L28">
        <v>30</v>
      </c>
      <c r="M28">
        <v>500</v>
      </c>
      <c r="N28">
        <v>200</v>
      </c>
      <c r="O28">
        <v>300</v>
      </c>
      <c r="P28">
        <v>0</v>
      </c>
      <c r="Q28">
        <v>0</v>
      </c>
      <c r="R28" t="s">
        <v>94</v>
      </c>
    </row>
    <row r="29" spans="1:18" x14ac:dyDescent="0.25">
      <c r="A29" t="s">
        <v>81</v>
      </c>
      <c r="B29">
        <v>30</v>
      </c>
      <c r="C29">
        <v>35</v>
      </c>
      <c r="D29" s="1" t="s">
        <v>51</v>
      </c>
      <c r="E29" s="1" t="s">
        <v>52</v>
      </c>
      <c r="F29" s="1">
        <v>727070</v>
      </c>
      <c r="G29" s="1">
        <v>218121000</v>
      </c>
      <c r="H29" s="3" t="s">
        <v>27</v>
      </c>
      <c r="I29" t="s">
        <v>94</v>
      </c>
      <c r="J29">
        <v>20</v>
      </c>
      <c r="K29">
        <v>30</v>
      </c>
      <c r="L29">
        <v>50</v>
      </c>
      <c r="M29">
        <v>500</v>
      </c>
      <c r="N29">
        <v>500</v>
      </c>
      <c r="O29">
        <v>500</v>
      </c>
      <c r="P29">
        <v>0</v>
      </c>
      <c r="Q29">
        <v>0</v>
      </c>
      <c r="R29" t="s">
        <v>94</v>
      </c>
    </row>
    <row r="30" spans="1:18" x14ac:dyDescent="0.25">
      <c r="A30" t="s">
        <v>82</v>
      </c>
      <c r="B30">
        <v>35</v>
      </c>
      <c r="C30">
        <v>40</v>
      </c>
      <c r="D30" s="1" t="s">
        <v>53</v>
      </c>
      <c r="E30" s="1" t="s">
        <v>54</v>
      </c>
      <c r="F30" s="1">
        <v>475790</v>
      </c>
      <c r="G30" s="1">
        <v>142737000</v>
      </c>
      <c r="H30" s="2" t="s">
        <v>37</v>
      </c>
      <c r="I30" t="s">
        <v>94</v>
      </c>
      <c r="J30">
        <v>50</v>
      </c>
      <c r="K30">
        <v>20</v>
      </c>
      <c r="L30">
        <v>30</v>
      </c>
      <c r="M30">
        <v>700</v>
      </c>
      <c r="N30">
        <v>300</v>
      </c>
      <c r="O30">
        <v>400</v>
      </c>
      <c r="P30">
        <v>0</v>
      </c>
      <c r="Q30">
        <v>0</v>
      </c>
      <c r="R30" t="s">
        <v>94</v>
      </c>
    </row>
    <row r="31" spans="1:18" x14ac:dyDescent="0.25">
      <c r="A31" t="s">
        <v>83</v>
      </c>
      <c r="B31">
        <v>35</v>
      </c>
      <c r="C31">
        <v>45</v>
      </c>
      <c r="D31" s="1" t="s">
        <v>55</v>
      </c>
      <c r="E31" s="1" t="s">
        <v>54</v>
      </c>
      <c r="F31" s="1">
        <v>333333</v>
      </c>
      <c r="G31" s="1">
        <v>100000000</v>
      </c>
      <c r="H31" s="2" t="s">
        <v>27</v>
      </c>
      <c r="I31" t="s">
        <v>94</v>
      </c>
      <c r="J31">
        <v>5</v>
      </c>
      <c r="K31">
        <v>80</v>
      </c>
      <c r="L31">
        <v>15</v>
      </c>
      <c r="M31">
        <v>100</v>
      </c>
      <c r="N31">
        <v>700</v>
      </c>
      <c r="O31">
        <v>100</v>
      </c>
      <c r="P31">
        <v>0</v>
      </c>
      <c r="Q31">
        <v>0</v>
      </c>
      <c r="R31" t="s">
        <v>94</v>
      </c>
    </row>
    <row r="32" spans="1:18" x14ac:dyDescent="0.25">
      <c r="A32" t="s">
        <v>84</v>
      </c>
      <c r="B32">
        <v>35</v>
      </c>
      <c r="C32">
        <v>50</v>
      </c>
      <c r="D32" s="1" t="s">
        <v>56</v>
      </c>
      <c r="E32" s="1" t="s">
        <v>54</v>
      </c>
      <c r="F32" s="1">
        <v>333333</v>
      </c>
      <c r="G32" s="1">
        <v>100000000</v>
      </c>
      <c r="H32" s="2">
        <v>0</v>
      </c>
      <c r="I32" t="s">
        <v>94</v>
      </c>
      <c r="J32">
        <v>60</v>
      </c>
      <c r="K32">
        <v>30</v>
      </c>
      <c r="L32">
        <v>10</v>
      </c>
      <c r="M32">
        <v>500</v>
      </c>
      <c r="N32">
        <v>300</v>
      </c>
      <c r="O32">
        <v>100</v>
      </c>
      <c r="P32">
        <v>0</v>
      </c>
      <c r="Q32">
        <v>0</v>
      </c>
      <c r="R32" t="s">
        <v>94</v>
      </c>
    </row>
    <row r="33" spans="1:18" x14ac:dyDescent="0.25">
      <c r="A33" t="s">
        <v>85</v>
      </c>
      <c r="B33">
        <v>35</v>
      </c>
      <c r="C33">
        <v>55</v>
      </c>
      <c r="D33" s="1" t="s">
        <v>57</v>
      </c>
      <c r="E33" s="1" t="s">
        <v>54</v>
      </c>
      <c r="F33" s="1">
        <v>333333</v>
      </c>
      <c r="G33" s="1">
        <v>100000000</v>
      </c>
      <c r="H33" s="2">
        <v>0</v>
      </c>
      <c r="I33" t="s">
        <v>94</v>
      </c>
      <c r="J33">
        <v>70</v>
      </c>
      <c r="K33">
        <v>10</v>
      </c>
      <c r="L33">
        <v>20</v>
      </c>
      <c r="M33">
        <v>600</v>
      </c>
      <c r="N33">
        <v>100</v>
      </c>
      <c r="O33">
        <v>200</v>
      </c>
      <c r="P33">
        <v>0</v>
      </c>
      <c r="Q33">
        <v>0</v>
      </c>
      <c r="R33" t="s">
        <v>94</v>
      </c>
    </row>
    <row r="34" spans="1:18" x14ac:dyDescent="0.25">
      <c r="A34" t="s">
        <v>171</v>
      </c>
      <c r="B34">
        <v>5</v>
      </c>
      <c r="C34">
        <v>1</v>
      </c>
      <c r="D34" t="s">
        <v>163</v>
      </c>
      <c r="E34" t="s">
        <v>18</v>
      </c>
      <c r="F34" s="1">
        <v>333333</v>
      </c>
      <c r="G34" s="1">
        <v>100000000</v>
      </c>
      <c r="H34" s="2" t="s">
        <v>27</v>
      </c>
      <c r="I34" t="s">
        <v>172</v>
      </c>
      <c r="J34">
        <v>10</v>
      </c>
      <c r="K34">
        <v>20</v>
      </c>
      <c r="L34">
        <v>70</v>
      </c>
      <c r="M34">
        <v>350</v>
      </c>
      <c r="N34">
        <v>200</v>
      </c>
      <c r="O34">
        <v>600</v>
      </c>
      <c r="P34">
        <v>2025</v>
      </c>
      <c r="Q34">
        <v>0</v>
      </c>
      <c r="R34" t="s">
        <v>94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2"/>
  <dimension ref="B2:J21"/>
  <sheetViews>
    <sheetView topLeftCell="B1" zoomScaleNormal="100" workbookViewId="0">
      <selection activeCell="E16" sqref="E16:F16"/>
    </sheetView>
  </sheetViews>
  <sheetFormatPr defaultRowHeight="15" x14ac:dyDescent="0.25"/>
  <cols>
    <col min="1" max="1" width="9.140625" style="4"/>
    <col min="2" max="2" width="26.140625" style="4" customWidth="1"/>
    <col min="3" max="3" width="35.28515625" style="4" customWidth="1"/>
    <col min="4" max="4" width="25" style="4" customWidth="1"/>
    <col min="5" max="5" width="14.7109375" style="4" customWidth="1"/>
    <col min="6" max="6" width="22.28515625" style="4" customWidth="1"/>
    <col min="7" max="7" width="33.7109375" style="4" customWidth="1"/>
    <col min="8" max="8" width="9.140625" style="4" customWidth="1"/>
    <col min="9" max="9" width="26.28515625" style="4" customWidth="1"/>
    <col min="10" max="10" width="31.5703125" style="4" customWidth="1"/>
    <col min="11" max="16384" width="9.140625" style="4"/>
  </cols>
  <sheetData>
    <row r="2" spans="2:10" ht="15.75" thickBot="1" x14ac:dyDescent="0.3"/>
    <row r="3" spans="2:10" ht="36.75" customHeight="1" thickTop="1" thickBot="1" x14ac:dyDescent="0.3">
      <c r="B3" s="12" t="s">
        <v>147</v>
      </c>
      <c r="C3" s="13" t="s">
        <v>89</v>
      </c>
    </row>
    <row r="4" spans="2:10" ht="27.75" customHeight="1" thickTop="1" x14ac:dyDescent="0.25"/>
    <row r="5" spans="2:10" ht="27.75" customHeight="1" x14ac:dyDescent="0.25"/>
    <row r="6" spans="2:10" ht="15.75" x14ac:dyDescent="0.25">
      <c r="C6" s="58" t="s">
        <v>89</v>
      </c>
      <c r="D6" s="59"/>
      <c r="F6" s="58" t="s">
        <v>88</v>
      </c>
      <c r="G6" s="59"/>
      <c r="I6" s="58" t="s">
        <v>87</v>
      </c>
      <c r="J6" s="59"/>
    </row>
    <row r="7" spans="2:10" x14ac:dyDescent="0.25">
      <c r="C7" s="5" t="s">
        <v>6</v>
      </c>
      <c r="D7" s="9">
        <f>VLOOKUP(D10,'DataAreas - analysis'!B:D,3,FALSE)</f>
        <v>5</v>
      </c>
      <c r="F7" s="5" t="s">
        <v>86</v>
      </c>
      <c r="G7" s="6" t="s">
        <v>17</v>
      </c>
      <c r="I7" s="5" t="s">
        <v>86</v>
      </c>
      <c r="J7" s="6"/>
    </row>
    <row r="8" spans="2:10" x14ac:dyDescent="0.25">
      <c r="C8" s="7" t="s">
        <v>7</v>
      </c>
      <c r="D8" s="8">
        <f>VLOOKUP(D10,'DataAreas - analysis'!B:E,4,FALSE)</f>
        <v>1</v>
      </c>
      <c r="F8" s="7" t="s">
        <v>90</v>
      </c>
      <c r="G8" s="8"/>
      <c r="I8" s="10" t="s">
        <v>107</v>
      </c>
      <c r="J8" s="11"/>
    </row>
    <row r="9" spans="2:10" x14ac:dyDescent="0.25">
      <c r="C9" s="5" t="s">
        <v>2</v>
      </c>
      <c r="D9" s="9" t="s">
        <v>163</v>
      </c>
      <c r="F9" s="5" t="s">
        <v>91</v>
      </c>
      <c r="G9" s="9"/>
    </row>
    <row r="10" spans="2:10" x14ac:dyDescent="0.25">
      <c r="C10" s="7" t="s">
        <v>3</v>
      </c>
      <c r="D10" s="8" t="s">
        <v>18</v>
      </c>
      <c r="F10" s="10" t="s">
        <v>15</v>
      </c>
      <c r="G10" s="11"/>
    </row>
    <row r="11" spans="2:10" x14ac:dyDescent="0.25">
      <c r="C11" s="5" t="s">
        <v>109</v>
      </c>
      <c r="D11" s="9">
        <f>D12/10</f>
        <v>10000</v>
      </c>
    </row>
    <row r="12" spans="2:10" x14ac:dyDescent="0.25">
      <c r="C12" s="7" t="s">
        <v>8</v>
      </c>
      <c r="D12" s="8">
        <v>100000</v>
      </c>
    </row>
    <row r="13" spans="2:10" x14ac:dyDescent="0.25">
      <c r="C13" s="5" t="s">
        <v>157</v>
      </c>
      <c r="D13" s="50" t="s">
        <v>27</v>
      </c>
    </row>
    <row r="14" spans="2:10" x14ac:dyDescent="0.25">
      <c r="C14" s="7" t="s">
        <v>5</v>
      </c>
      <c r="D14" s="8" t="s">
        <v>94</v>
      </c>
    </row>
    <row r="15" spans="2:10" x14ac:dyDescent="0.25">
      <c r="C15" s="5" t="s">
        <v>9</v>
      </c>
      <c r="D15" s="9">
        <v>10</v>
      </c>
    </row>
    <row r="16" spans="2:10" x14ac:dyDescent="0.25">
      <c r="C16" s="7" t="s">
        <v>10</v>
      </c>
      <c r="D16" s="8">
        <v>20</v>
      </c>
      <c r="E16" s="60" t="str">
        <f>IF(NOT(D15+D16+D17=100),"&lt;- Incorrect values, should add up to 100%","")</f>
        <v/>
      </c>
      <c r="F16" s="61"/>
    </row>
    <row r="17" spans="3:4" x14ac:dyDescent="0.25">
      <c r="C17" s="5" t="s">
        <v>11</v>
      </c>
      <c r="D17" s="9">
        <v>70</v>
      </c>
    </row>
    <row r="18" spans="3:4" x14ac:dyDescent="0.25">
      <c r="C18" s="7" t="s">
        <v>12</v>
      </c>
      <c r="D18" s="8">
        <v>1000</v>
      </c>
    </row>
    <row r="19" spans="3:4" x14ac:dyDescent="0.25">
      <c r="C19" s="5" t="s">
        <v>13</v>
      </c>
      <c r="D19" s="9">
        <v>1000</v>
      </c>
    </row>
    <row r="20" spans="3:4" x14ac:dyDescent="0.25">
      <c r="C20" s="7" t="s">
        <v>14</v>
      </c>
      <c r="D20" s="8">
        <v>1000</v>
      </c>
    </row>
    <row r="21" spans="3:4" x14ac:dyDescent="0.25">
      <c r="C21" s="27" t="s">
        <v>15</v>
      </c>
      <c r="D21" s="49">
        <v>2025</v>
      </c>
    </row>
  </sheetData>
  <mergeCells count="4">
    <mergeCell ref="F6:G6"/>
    <mergeCell ref="I6:J6"/>
    <mergeCell ref="C6:D6"/>
    <mergeCell ref="E16:F16"/>
  </mergeCells>
  <conditionalFormatting sqref="E16">
    <cfRule type="containsText" dxfId="0" priority="1" operator="containsText" text="&lt;- Incorrect values, should add up to 100%">
      <formula>NOT(ISERROR(SEARCH("&lt;- Incorrect values, should add up to 100%",E16)))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7" r:id="rId3" name="Button 5">
              <controlPr defaultSize="0" print="0" autoFill="0" autoPict="0" macro="[0]!New_land_use_projects">
                <anchor moveWithCells="1" sizeWithCells="1">
                  <from>
                    <xdr:col>3</xdr:col>
                    <xdr:colOff>257175</xdr:colOff>
                    <xdr:row>1</xdr:row>
                    <xdr:rowOff>180975</xdr:rowOff>
                  </from>
                  <to>
                    <xdr:col>4</xdr:col>
                    <xdr:colOff>180975</xdr:colOff>
                    <xdr:row>2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4" name="Button 12">
              <controlPr defaultSize="0" print="0" autoFill="0" autoPict="0" macro="[0]!clean_sheet_land_issue_project">
                <anchor moveWithCells="1" sizeWithCells="1">
                  <from>
                    <xdr:col>4</xdr:col>
                    <xdr:colOff>523875</xdr:colOff>
                    <xdr:row>1</xdr:row>
                    <xdr:rowOff>171450</xdr:rowOff>
                  </from>
                  <to>
                    <xdr:col>5</xdr:col>
                    <xdr:colOff>904875</xdr:colOff>
                    <xdr:row>2</xdr:row>
                    <xdr:rowOff>447675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'Auxiliary sheet'!$A$2:$A$4</xm:f>
          </x14:formula1>
          <xm:sqref>C3</xm:sqref>
        </x14:dataValidation>
        <x14:dataValidation type="list" allowBlank="1" showInputMessage="1" showErrorMessage="1">
          <x14:formula1>
            <xm:f>'Auxiliary sheet'!$B$2:$B$9</xm:f>
          </x14:formula1>
          <xm:sqref>D10</xm:sqref>
        </x14:dataValidation>
        <x14:dataValidation type="list" allowBlank="1" showInputMessage="1" showErrorMessage="1">
          <x14:formula1>
            <xm:f>'Auxiliary sheet'!$C$2:$C$15</xm:f>
          </x14:formula1>
          <xm:sqref>D14</xm:sqref>
        </x14:dataValidation>
        <x14:dataValidation type="list" allowBlank="1" showInputMessage="1" showErrorMessage="1">
          <x14:formula1>
            <xm:f>'DataTerminals - analysis'!$D$3:$D$37</xm:f>
          </x14:formula1>
          <xm:sqref>J7</xm:sqref>
        </x14:dataValidation>
        <x14:dataValidation type="list" allowBlank="1" showInputMessage="1" showErrorMessage="1">
          <x14:formula1>
            <xm:f>'DataTerminals - analysis'!$D$3:$D$39</xm:f>
          </x14:formula1>
          <xm:sqref>G7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7"/>
  <dimension ref="B3:L13"/>
  <sheetViews>
    <sheetView workbookViewId="0">
      <selection activeCell="C31" sqref="C31"/>
    </sheetView>
  </sheetViews>
  <sheetFormatPr defaultRowHeight="15" x14ac:dyDescent="0.25"/>
  <cols>
    <col min="2" max="2" width="12.85546875" customWidth="1"/>
    <col min="10" max="10" width="15.5703125" customWidth="1"/>
  </cols>
  <sheetData>
    <row r="3" spans="2:12" x14ac:dyDescent="0.25">
      <c r="J3" t="s">
        <v>133</v>
      </c>
      <c r="K3">
        <v>8.5</v>
      </c>
      <c r="L3" s="15" t="s">
        <v>123</v>
      </c>
    </row>
    <row r="4" spans="2:12" x14ac:dyDescent="0.25">
      <c r="B4" s="62" t="s">
        <v>141</v>
      </c>
      <c r="C4" s="62"/>
      <c r="D4" s="62"/>
      <c r="F4" s="62" t="s">
        <v>142</v>
      </c>
      <c r="G4" s="62"/>
      <c r="H4" s="62"/>
      <c r="J4" t="s">
        <v>124</v>
      </c>
      <c r="K4" s="16">
        <v>0.08</v>
      </c>
    </row>
    <row r="5" spans="2:12" ht="14.25" customHeight="1" x14ac:dyDescent="0.25">
      <c r="B5" t="s">
        <v>96</v>
      </c>
      <c r="C5">
        <v>0.68600000000000005</v>
      </c>
      <c r="D5" s="15" t="s">
        <v>122</v>
      </c>
      <c r="E5" s="15"/>
      <c r="F5" t="s">
        <v>96</v>
      </c>
      <c r="G5">
        <v>0.68600000000000005</v>
      </c>
      <c r="H5" s="15" t="s">
        <v>122</v>
      </c>
      <c r="J5" s="18" t="s">
        <v>132</v>
      </c>
      <c r="L5" s="15"/>
    </row>
    <row r="6" spans="2:12" x14ac:dyDescent="0.25">
      <c r="B6" t="s">
        <v>97</v>
      </c>
      <c r="C6">
        <v>0.48799999999999999</v>
      </c>
      <c r="D6" s="15" t="s">
        <v>122</v>
      </c>
      <c r="E6" s="15"/>
      <c r="F6" t="s">
        <v>97</v>
      </c>
      <c r="G6">
        <v>0.48799999999999999</v>
      </c>
      <c r="H6" s="15" t="s">
        <v>122</v>
      </c>
      <c r="J6" s="17" t="s">
        <v>135</v>
      </c>
      <c r="K6" s="16">
        <v>0.02</v>
      </c>
      <c r="L6" s="15"/>
    </row>
    <row r="7" spans="2:12" x14ac:dyDescent="0.25">
      <c r="B7" t="s">
        <v>98</v>
      </c>
      <c r="C7">
        <v>0.505</v>
      </c>
      <c r="D7" s="15" t="s">
        <v>122</v>
      </c>
      <c r="E7" s="15"/>
      <c r="F7" t="s">
        <v>98</v>
      </c>
      <c r="G7">
        <v>0.505</v>
      </c>
      <c r="H7" s="15" t="s">
        <v>122</v>
      </c>
      <c r="J7" s="17" t="s">
        <v>133</v>
      </c>
      <c r="K7" s="16">
        <v>0.01</v>
      </c>
      <c r="L7" s="15"/>
    </row>
    <row r="8" spans="2:12" x14ac:dyDescent="0.25">
      <c r="B8" t="s">
        <v>101</v>
      </c>
      <c r="C8">
        <v>0.48799999999999999</v>
      </c>
      <c r="D8" s="15" t="s">
        <v>122</v>
      </c>
      <c r="E8" s="15"/>
      <c r="F8" t="s">
        <v>101</v>
      </c>
      <c r="G8">
        <v>0.48799999999999999</v>
      </c>
      <c r="H8" s="15" t="s">
        <v>122</v>
      </c>
    </row>
    <row r="9" spans="2:12" x14ac:dyDescent="0.25">
      <c r="B9" t="s">
        <v>102</v>
      </c>
      <c r="C9">
        <v>0.48799999999999999</v>
      </c>
      <c r="D9" s="15" t="s">
        <v>122</v>
      </c>
      <c r="E9" s="15"/>
      <c r="F9" t="s">
        <v>102</v>
      </c>
      <c r="G9">
        <v>0.48799999999999999</v>
      </c>
      <c r="H9" s="15" t="s">
        <v>122</v>
      </c>
    </row>
    <row r="10" spans="2:12" x14ac:dyDescent="0.25">
      <c r="B10" t="s">
        <v>94</v>
      </c>
      <c r="C10">
        <v>0.48799999999999999</v>
      </c>
      <c r="D10" s="15" t="s">
        <v>122</v>
      </c>
      <c r="E10" s="15"/>
      <c r="F10" t="s">
        <v>94</v>
      </c>
      <c r="G10">
        <v>0.8</v>
      </c>
      <c r="H10" s="15" t="s">
        <v>122</v>
      </c>
    </row>
    <row r="11" spans="2:12" x14ac:dyDescent="0.25">
      <c r="B11" t="s">
        <v>103</v>
      </c>
      <c r="C11">
        <v>0.48799999999999999</v>
      </c>
      <c r="D11" s="15" t="s">
        <v>122</v>
      </c>
      <c r="E11" s="15"/>
      <c r="F11" t="s">
        <v>103</v>
      </c>
      <c r="G11">
        <v>0.48799999999999999</v>
      </c>
      <c r="H11" s="15" t="s">
        <v>122</v>
      </c>
    </row>
    <row r="12" spans="2:12" x14ac:dyDescent="0.25">
      <c r="B12" t="s">
        <v>105</v>
      </c>
      <c r="C12">
        <v>0.505</v>
      </c>
      <c r="D12" s="15" t="s">
        <v>122</v>
      </c>
      <c r="E12" s="15"/>
      <c r="F12" t="s">
        <v>105</v>
      </c>
      <c r="G12">
        <v>0.505</v>
      </c>
      <c r="H12" s="15" t="s">
        <v>122</v>
      </c>
    </row>
    <row r="13" spans="2:12" x14ac:dyDescent="0.25">
      <c r="B13" t="s">
        <v>106</v>
      </c>
      <c r="C13">
        <v>0.44900000000000001</v>
      </c>
      <c r="D13" s="15" t="s">
        <v>122</v>
      </c>
      <c r="E13" s="15"/>
      <c r="F13" t="s">
        <v>106</v>
      </c>
      <c r="G13">
        <v>0.44900000000000001</v>
      </c>
      <c r="H13" s="15" t="s">
        <v>122</v>
      </c>
    </row>
  </sheetData>
  <mergeCells count="2">
    <mergeCell ref="F4:H4"/>
    <mergeCell ref="B4:D4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9"/>
  <dimension ref="B3:I21"/>
  <sheetViews>
    <sheetView workbookViewId="0">
      <selection activeCell="G29" sqref="G29"/>
    </sheetView>
  </sheetViews>
  <sheetFormatPr defaultRowHeight="15" x14ac:dyDescent="0.25"/>
  <cols>
    <col min="2" max="2" width="21.5703125" customWidth="1"/>
    <col min="7" max="8" width="22.42578125" customWidth="1"/>
    <col min="9" max="9" width="37.85546875" customWidth="1"/>
    <col min="10" max="10" width="15.5703125" customWidth="1"/>
  </cols>
  <sheetData>
    <row r="3" spans="2:9" x14ac:dyDescent="0.25">
      <c r="B3" s="63" t="s">
        <v>121</v>
      </c>
      <c r="C3" s="64"/>
      <c r="D3" s="64"/>
      <c r="E3" s="64"/>
      <c r="F3" s="64"/>
      <c r="G3" s="64"/>
      <c r="H3" s="64"/>
      <c r="I3" s="64"/>
    </row>
    <row r="4" spans="2:9" ht="30" customHeight="1" x14ac:dyDescent="0.25">
      <c r="B4" s="39"/>
      <c r="C4" s="73" t="s">
        <v>143</v>
      </c>
      <c r="D4" s="73"/>
      <c r="E4" s="71" t="s">
        <v>144</v>
      </c>
      <c r="F4" s="72"/>
      <c r="G4" s="54" t="s">
        <v>156</v>
      </c>
      <c r="H4" s="54" t="s">
        <v>167</v>
      </c>
      <c r="I4" s="45" t="s">
        <v>146</v>
      </c>
    </row>
    <row r="5" spans="2:9" ht="14.25" customHeight="1" x14ac:dyDescent="0.25">
      <c r="B5" s="34" t="s">
        <v>96</v>
      </c>
      <c r="C5" s="20">
        <v>0.5</v>
      </c>
      <c r="D5" s="36" t="s">
        <v>122</v>
      </c>
      <c r="E5" s="20">
        <v>0.5</v>
      </c>
      <c r="F5" s="46" t="s">
        <v>122</v>
      </c>
      <c r="G5" s="51"/>
      <c r="H5" s="55"/>
      <c r="I5" s="25" t="str">
        <f>IF(C5=E5,"","Adjustment port dues """&amp;B5&amp;"""")</f>
        <v/>
      </c>
    </row>
    <row r="6" spans="2:9" x14ac:dyDescent="0.25">
      <c r="B6" s="34" t="s">
        <v>97</v>
      </c>
      <c r="C6" s="24">
        <v>0.5</v>
      </c>
      <c r="D6" s="37" t="s">
        <v>122</v>
      </c>
      <c r="E6" s="24">
        <v>0.5</v>
      </c>
      <c r="F6" s="37" t="s">
        <v>122</v>
      </c>
      <c r="G6" s="37"/>
      <c r="H6" s="21"/>
      <c r="I6" s="47" t="str">
        <f t="shared" ref="I6:I9" si="0">IF(C6=E6,"","Adjustment port dues """&amp;B6&amp;"""")</f>
        <v/>
      </c>
    </row>
    <row r="7" spans="2:9" x14ac:dyDescent="0.25">
      <c r="B7" s="34" t="s">
        <v>98</v>
      </c>
      <c r="C7" s="20">
        <v>0.5</v>
      </c>
      <c r="D7" s="36" t="s">
        <v>122</v>
      </c>
      <c r="E7" s="20">
        <v>0.5</v>
      </c>
      <c r="F7" s="36" t="s">
        <v>122</v>
      </c>
      <c r="G7" s="52"/>
      <c r="H7" s="55"/>
      <c r="I7" s="25" t="str">
        <f t="shared" si="0"/>
        <v/>
      </c>
    </row>
    <row r="8" spans="2:9" x14ac:dyDescent="0.25">
      <c r="B8" s="34" t="s">
        <v>101</v>
      </c>
      <c r="C8" s="24">
        <v>0.5</v>
      </c>
      <c r="D8" s="37" t="s">
        <v>122</v>
      </c>
      <c r="E8" s="24">
        <v>0.5</v>
      </c>
      <c r="F8" s="37" t="s">
        <v>122</v>
      </c>
      <c r="G8" s="37"/>
      <c r="H8" s="21"/>
      <c r="I8" s="47" t="str">
        <f t="shared" si="0"/>
        <v/>
      </c>
    </row>
    <row r="9" spans="2:9" x14ac:dyDescent="0.25">
      <c r="B9" s="34" t="s">
        <v>102</v>
      </c>
      <c r="C9" s="20">
        <v>0.5</v>
      </c>
      <c r="D9" s="36" t="s">
        <v>122</v>
      </c>
      <c r="E9" s="20">
        <v>0.5</v>
      </c>
      <c r="F9" s="36" t="s">
        <v>122</v>
      </c>
      <c r="G9" s="52"/>
      <c r="H9" s="55"/>
      <c r="I9" s="25" t="str">
        <f t="shared" si="0"/>
        <v/>
      </c>
    </row>
    <row r="10" spans="2:9" x14ac:dyDescent="0.25">
      <c r="B10" s="34" t="s">
        <v>94</v>
      </c>
      <c r="C10" s="24">
        <v>0.5</v>
      </c>
      <c r="D10" s="37" t="s">
        <v>122</v>
      </c>
      <c r="E10" s="24">
        <v>0.5</v>
      </c>
      <c r="F10" s="37" t="s">
        <v>122</v>
      </c>
      <c r="G10" s="37">
        <v>0.01</v>
      </c>
      <c r="H10" s="21">
        <v>2030</v>
      </c>
      <c r="I10" s="47" t="str">
        <f>IF(C10=E10,"","Adjustment port dues """&amp;B10&amp;"""")</f>
        <v/>
      </c>
    </row>
    <row r="11" spans="2:9" x14ac:dyDescent="0.25">
      <c r="B11" s="34" t="s">
        <v>103</v>
      </c>
      <c r="C11" s="20">
        <v>0.5</v>
      </c>
      <c r="D11" s="36" t="s">
        <v>122</v>
      </c>
      <c r="E11" s="20">
        <v>0.5</v>
      </c>
      <c r="F11" s="36" t="s">
        <v>122</v>
      </c>
      <c r="G11" s="52"/>
      <c r="H11" s="55"/>
      <c r="I11" s="25" t="str">
        <f t="shared" ref="I11:I13" si="1">IF(C11=E11,"","Adjustment port dues """&amp;B11&amp;"""")</f>
        <v/>
      </c>
    </row>
    <row r="12" spans="2:9" x14ac:dyDescent="0.25">
      <c r="B12" s="34" t="s">
        <v>105</v>
      </c>
      <c r="C12" s="24">
        <v>0.5</v>
      </c>
      <c r="D12" s="37" t="s">
        <v>122</v>
      </c>
      <c r="E12" s="24">
        <v>0.5</v>
      </c>
      <c r="F12" s="37" t="s">
        <v>122</v>
      </c>
      <c r="G12" s="37"/>
      <c r="H12" s="21"/>
      <c r="I12" s="47" t="str">
        <f t="shared" si="1"/>
        <v/>
      </c>
    </row>
    <row r="13" spans="2:9" x14ac:dyDescent="0.25">
      <c r="B13" s="35" t="s">
        <v>106</v>
      </c>
      <c r="C13" s="33">
        <v>0.5</v>
      </c>
      <c r="D13" s="38" t="s">
        <v>122</v>
      </c>
      <c r="E13" s="33">
        <v>0.5</v>
      </c>
      <c r="F13" s="38" t="s">
        <v>122</v>
      </c>
      <c r="G13" s="53"/>
      <c r="H13" s="56"/>
      <c r="I13" s="48" t="str">
        <f t="shared" si="1"/>
        <v/>
      </c>
    </row>
    <row r="15" spans="2:9" x14ac:dyDescent="0.25">
      <c r="B15" s="63" t="s">
        <v>145</v>
      </c>
      <c r="C15" s="64"/>
      <c r="D15" s="64"/>
      <c r="E15" s="64"/>
      <c r="F15" s="64"/>
      <c r="G15" s="64"/>
      <c r="H15" s="64"/>
      <c r="I15" s="64"/>
    </row>
    <row r="16" spans="2:9" ht="30" x14ac:dyDescent="0.25">
      <c r="B16" s="39"/>
      <c r="C16" s="73" t="s">
        <v>143</v>
      </c>
      <c r="D16" s="73"/>
      <c r="E16" s="71" t="s">
        <v>144</v>
      </c>
      <c r="F16" s="72"/>
      <c r="G16" s="54" t="s">
        <v>156</v>
      </c>
      <c r="H16" s="54" t="s">
        <v>167</v>
      </c>
      <c r="I16" s="45" t="s">
        <v>146</v>
      </c>
    </row>
    <row r="17" spans="2:9" x14ac:dyDescent="0.25">
      <c r="B17" s="34" t="s">
        <v>133</v>
      </c>
      <c r="C17" s="20">
        <v>8.5</v>
      </c>
      <c r="D17" s="36" t="s">
        <v>123</v>
      </c>
      <c r="E17" s="20">
        <v>8.5</v>
      </c>
      <c r="F17" s="46" t="s">
        <v>123</v>
      </c>
      <c r="G17" s="51"/>
      <c r="H17" s="55"/>
      <c r="I17" s="25" t="str">
        <f>IF(C17=E17,"","Adjustment  """&amp;B17&amp;"""")</f>
        <v/>
      </c>
    </row>
    <row r="18" spans="2:9" x14ac:dyDescent="0.25">
      <c r="B18" s="34" t="s">
        <v>124</v>
      </c>
      <c r="C18" s="65">
        <v>8.5000000000000006E-2</v>
      </c>
      <c r="D18" s="66"/>
      <c r="E18" s="57">
        <v>8.5000000000000006E-2</v>
      </c>
      <c r="F18" s="37"/>
      <c r="G18" s="37"/>
      <c r="H18" s="21"/>
      <c r="I18" s="47" t="str">
        <f t="shared" ref="I18:I21" si="2">IF(C18=E18,"","Adjustment  """&amp;B18&amp;"""")</f>
        <v/>
      </c>
    </row>
    <row r="19" spans="2:9" x14ac:dyDescent="0.25">
      <c r="B19" s="34" t="s">
        <v>132</v>
      </c>
      <c r="C19" s="43"/>
      <c r="D19" s="36"/>
      <c r="E19" s="43"/>
      <c r="F19" s="36"/>
      <c r="G19" s="52"/>
      <c r="H19" s="55"/>
      <c r="I19" s="25" t="str">
        <f t="shared" si="2"/>
        <v/>
      </c>
    </row>
    <row r="20" spans="2:9" x14ac:dyDescent="0.25">
      <c r="B20" s="40" t="s">
        <v>165</v>
      </c>
      <c r="C20" s="67">
        <v>0.02</v>
      </c>
      <c r="D20" s="68"/>
      <c r="E20" s="42">
        <v>0.02</v>
      </c>
      <c r="F20" s="37"/>
      <c r="G20" s="37"/>
      <c r="H20" s="21"/>
      <c r="I20" s="47" t="str">
        <f t="shared" si="2"/>
        <v/>
      </c>
    </row>
    <row r="21" spans="2:9" x14ac:dyDescent="0.25">
      <c r="B21" s="41" t="s">
        <v>166</v>
      </c>
      <c r="C21" s="69">
        <v>0.01</v>
      </c>
      <c r="D21" s="70"/>
      <c r="E21" s="44">
        <v>0.01</v>
      </c>
      <c r="F21" s="38"/>
      <c r="G21" s="53">
        <v>0.01</v>
      </c>
      <c r="H21" s="56">
        <v>2030</v>
      </c>
      <c r="I21" s="48" t="str">
        <f t="shared" si="2"/>
        <v/>
      </c>
    </row>
  </sheetData>
  <mergeCells count="9">
    <mergeCell ref="B3:I3"/>
    <mergeCell ref="B15:I15"/>
    <mergeCell ref="C18:D18"/>
    <mergeCell ref="C20:D20"/>
    <mergeCell ref="C21:D21"/>
    <mergeCell ref="E4:F4"/>
    <mergeCell ref="C4:D4"/>
    <mergeCell ref="C16:D16"/>
    <mergeCell ref="E16:F1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Recover_current_values_commercial">
                <anchor moveWithCells="1" sizeWithCells="1">
                  <from>
                    <xdr:col>9</xdr:col>
                    <xdr:colOff>657225</xdr:colOff>
                    <xdr:row>3</xdr:row>
                    <xdr:rowOff>161925</xdr:rowOff>
                  </from>
                  <to>
                    <xdr:col>13</xdr:col>
                    <xdr:colOff>9525</xdr:colOff>
                    <xdr:row>6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8"/>
  <dimension ref="B2:L11"/>
  <sheetViews>
    <sheetView workbookViewId="0">
      <selection activeCell="K7" sqref="K7:L8"/>
    </sheetView>
  </sheetViews>
  <sheetFormatPr defaultRowHeight="15" x14ac:dyDescent="0.25"/>
  <cols>
    <col min="1" max="1" width="9.140625" style="4"/>
    <col min="2" max="2" width="26.140625" style="4" customWidth="1"/>
    <col min="3" max="3" width="35.28515625" style="4" customWidth="1"/>
    <col min="4" max="4" width="8.42578125" style="4" customWidth="1"/>
    <col min="5" max="5" width="7.5703125" style="4" customWidth="1"/>
    <col min="6" max="6" width="9.140625" style="4"/>
    <col min="7" max="7" width="34.7109375" style="4" customWidth="1"/>
    <col min="8" max="8" width="9.140625" style="4" customWidth="1"/>
    <col min="9" max="9" width="9.5703125" style="4" customWidth="1"/>
    <col min="10" max="10" width="9.140625" style="4"/>
    <col min="11" max="11" width="31.140625" style="4" customWidth="1"/>
    <col min="12" max="12" width="31.5703125" style="4" customWidth="1"/>
    <col min="13" max="16384" width="9.140625" style="4"/>
  </cols>
  <sheetData>
    <row r="2" spans="2:12" ht="15.75" thickBot="1" x14ac:dyDescent="0.3"/>
    <row r="3" spans="2:12" ht="36.75" customHeight="1" thickTop="1" thickBot="1" x14ac:dyDescent="0.3">
      <c r="B3" s="12" t="s">
        <v>92</v>
      </c>
      <c r="C3" s="13" t="s">
        <v>137</v>
      </c>
    </row>
    <row r="4" spans="2:12" ht="27.75" customHeight="1" thickTop="1" x14ac:dyDescent="0.25"/>
    <row r="5" spans="2:12" ht="27.75" customHeight="1" x14ac:dyDescent="0.25"/>
    <row r="6" spans="2:12" ht="15.75" x14ac:dyDescent="0.25">
      <c r="C6" s="76" t="s">
        <v>137</v>
      </c>
      <c r="D6" s="77"/>
      <c r="E6" s="78"/>
      <c r="G6" s="76" t="s">
        <v>138</v>
      </c>
      <c r="H6" s="77"/>
      <c r="I6" s="78"/>
      <c r="K6" s="58" t="s">
        <v>125</v>
      </c>
      <c r="L6" s="59"/>
    </row>
    <row r="7" spans="2:12" x14ac:dyDescent="0.25">
      <c r="C7" s="5" t="s">
        <v>5</v>
      </c>
      <c r="D7" s="81" t="s">
        <v>94</v>
      </c>
      <c r="E7" s="82"/>
      <c r="G7" s="5" t="s">
        <v>139</v>
      </c>
      <c r="H7" s="22">
        <f>xx!K3</f>
        <v>8.5</v>
      </c>
      <c r="I7" s="9" t="s">
        <v>123</v>
      </c>
      <c r="K7" s="5" t="s">
        <v>129</v>
      </c>
      <c r="L7" s="5" t="s">
        <v>133</v>
      </c>
    </row>
    <row r="8" spans="2:12" x14ac:dyDescent="0.25">
      <c r="B8" s="32"/>
      <c r="C8" s="7" t="s">
        <v>126</v>
      </c>
      <c r="D8" s="21">
        <f>VLOOKUP(D7,xx!$B$5:$C$13,2,FALSE)</f>
        <v>0.48799999999999999</v>
      </c>
      <c r="E8" s="19" t="s">
        <v>122</v>
      </c>
      <c r="G8" s="7" t="s">
        <v>140</v>
      </c>
      <c r="H8" s="21">
        <v>0.1</v>
      </c>
      <c r="I8" s="19" t="s">
        <v>123</v>
      </c>
      <c r="J8" s="26"/>
      <c r="K8" s="7" t="s">
        <v>134</v>
      </c>
      <c r="L8" s="31">
        <f>VLOOKUP(L7,xx!$J$6:$K$7,2,FALSE)</f>
        <v>0.01</v>
      </c>
    </row>
    <row r="9" spans="2:12" x14ac:dyDescent="0.25">
      <c r="B9" s="32"/>
      <c r="C9" s="5" t="s">
        <v>127</v>
      </c>
      <c r="D9" s="22">
        <v>0.8</v>
      </c>
      <c r="E9" s="9" t="s">
        <v>122</v>
      </c>
      <c r="G9" s="27" t="s">
        <v>128</v>
      </c>
      <c r="H9" s="79">
        <v>2020</v>
      </c>
      <c r="I9" s="80"/>
      <c r="K9" s="5" t="s">
        <v>136</v>
      </c>
      <c r="L9" s="30">
        <v>0.02</v>
      </c>
    </row>
    <row r="10" spans="2:12" x14ac:dyDescent="0.25">
      <c r="B10" s="32"/>
      <c r="C10" s="10" t="s">
        <v>128</v>
      </c>
      <c r="D10" s="74">
        <v>2010</v>
      </c>
      <c r="E10" s="75"/>
      <c r="G10" s="24"/>
      <c r="H10" s="23"/>
      <c r="I10" s="23"/>
      <c r="K10" s="10" t="s">
        <v>128</v>
      </c>
      <c r="L10" s="29">
        <v>2040</v>
      </c>
    </row>
    <row r="11" spans="2:12" x14ac:dyDescent="0.25">
      <c r="K11" s="28"/>
    </row>
  </sheetData>
  <mergeCells count="6">
    <mergeCell ref="D10:E10"/>
    <mergeCell ref="G6:I6"/>
    <mergeCell ref="H9:I9"/>
    <mergeCell ref="K6:L6"/>
    <mergeCell ref="C6:E6"/>
    <mergeCell ref="D7:E7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New_project_commercial_action">
                <anchor moveWithCells="1" sizeWithCells="1">
                  <from>
                    <xdr:col>3</xdr:col>
                    <xdr:colOff>257175</xdr:colOff>
                    <xdr:row>1</xdr:row>
                    <xdr:rowOff>180975</xdr:rowOff>
                  </from>
                  <to>
                    <xdr:col>5</xdr:col>
                    <xdr:colOff>180975</xdr:colOff>
                    <xdr:row>2</xdr:row>
                    <xdr:rowOff>438150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xx!$B$5:$B$13</xm:f>
          </x14:formula1>
          <xm:sqref>D7</xm:sqref>
        </x14:dataValidation>
        <x14:dataValidation type="list" allowBlank="1" showInputMessage="1" showErrorMessage="1">
          <x14:formula1>
            <xm:f>'Auxiliary sheet'!$D$3:$D$5</xm:f>
          </x14:formula1>
          <xm:sqref>C3</xm:sqref>
        </x14:dataValidation>
        <x14:dataValidation type="list" allowBlank="1" showInputMessage="1" showErrorMessage="1">
          <x14:formula1>
            <xm:f>'Auxiliary sheet'!$E$3:$E$4</xm:f>
          </x14:formula1>
          <xm:sqref>L7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4"/>
  <dimension ref="B2:J14"/>
  <sheetViews>
    <sheetView tabSelected="1" topLeftCell="B1" workbookViewId="0">
      <selection activeCell="D21" sqref="D21"/>
    </sheetView>
  </sheetViews>
  <sheetFormatPr defaultRowHeight="15" x14ac:dyDescent="0.25"/>
  <cols>
    <col min="1" max="1" width="9.140625" style="83"/>
    <col min="2" max="2" width="26.140625" style="83" customWidth="1"/>
    <col min="3" max="3" width="37.28515625" style="83" customWidth="1"/>
    <col min="4" max="4" width="25" style="83" customWidth="1"/>
    <col min="5" max="5" width="9.140625" style="83"/>
    <col min="6" max="6" width="36" style="83" customWidth="1"/>
    <col min="7" max="7" width="26.85546875" style="83" customWidth="1"/>
    <col min="8" max="8" width="9.140625" style="83"/>
    <col min="9" max="9" width="37.7109375" style="83" customWidth="1"/>
    <col min="10" max="10" width="24.42578125" style="83" customWidth="1"/>
    <col min="11" max="16384" width="9.140625" style="83"/>
  </cols>
  <sheetData>
    <row r="2" spans="2:10" ht="15.75" thickBot="1" x14ac:dyDescent="0.3"/>
    <row r="3" spans="2:10" ht="36.75" customHeight="1" thickTop="1" thickBot="1" x14ac:dyDescent="0.3">
      <c r="B3" s="84" t="s">
        <v>159</v>
      </c>
      <c r="C3" s="85">
        <v>3</v>
      </c>
    </row>
    <row r="4" spans="2:10" ht="27.75" customHeight="1" thickTop="1" x14ac:dyDescent="0.25"/>
    <row r="5" spans="2:10" ht="27.75" customHeight="1" x14ac:dyDescent="0.25"/>
    <row r="6" spans="2:10" ht="15.75" x14ac:dyDescent="0.25">
      <c r="C6" s="86" t="s">
        <v>148</v>
      </c>
      <c r="D6" s="87"/>
      <c r="F6" s="86" t="s">
        <v>149</v>
      </c>
      <c r="G6" s="87"/>
      <c r="I6" s="86" t="s">
        <v>150</v>
      </c>
      <c r="J6" s="87"/>
    </row>
    <row r="7" spans="2:10" x14ac:dyDescent="0.25">
      <c r="C7" s="88" t="s">
        <v>2</v>
      </c>
      <c r="D7" s="89" t="s">
        <v>168</v>
      </c>
      <c r="F7" s="88" t="s">
        <v>2</v>
      </c>
      <c r="G7" s="89"/>
      <c r="I7" s="88" t="s">
        <v>2</v>
      </c>
      <c r="J7" s="89"/>
    </row>
    <row r="8" spans="2:10" x14ac:dyDescent="0.25">
      <c r="C8" s="90" t="s">
        <v>3</v>
      </c>
      <c r="D8" s="91" t="s">
        <v>18</v>
      </c>
      <c r="F8" s="90" t="s">
        <v>3</v>
      </c>
      <c r="G8" s="91"/>
      <c r="I8" s="90" t="s">
        <v>3</v>
      </c>
      <c r="J8" s="91" t="s">
        <v>164</v>
      </c>
    </row>
    <row r="9" spans="2:10" x14ac:dyDescent="0.25">
      <c r="C9" s="88" t="s">
        <v>151</v>
      </c>
      <c r="D9" s="89" t="s">
        <v>153</v>
      </c>
      <c r="F9" s="88" t="s">
        <v>151</v>
      </c>
      <c r="G9" s="89" t="s">
        <v>164</v>
      </c>
      <c r="I9" s="88" t="s">
        <v>151</v>
      </c>
      <c r="J9" s="89"/>
    </row>
    <row r="10" spans="2:10" x14ac:dyDescent="0.25">
      <c r="C10" s="90" t="s">
        <v>158</v>
      </c>
      <c r="D10" s="91">
        <v>50</v>
      </c>
      <c r="F10" s="90" t="s">
        <v>158</v>
      </c>
      <c r="G10" s="91"/>
      <c r="I10" s="90" t="s">
        <v>158</v>
      </c>
      <c r="J10" s="91"/>
    </row>
    <row r="11" spans="2:10" x14ac:dyDescent="0.25">
      <c r="C11" s="88" t="s">
        <v>156</v>
      </c>
      <c r="D11" s="92">
        <v>0</v>
      </c>
      <c r="F11" s="88" t="s">
        <v>156</v>
      </c>
      <c r="G11" s="93"/>
      <c r="I11" s="88" t="s">
        <v>156</v>
      </c>
      <c r="J11" s="93"/>
    </row>
    <row r="12" spans="2:10" x14ac:dyDescent="0.25">
      <c r="C12" s="90" t="s">
        <v>15</v>
      </c>
      <c r="D12" s="91">
        <v>2020</v>
      </c>
      <c r="F12" s="90" t="s">
        <v>15</v>
      </c>
      <c r="G12" s="91"/>
      <c r="I12" s="90" t="s">
        <v>15</v>
      </c>
      <c r="J12" s="91"/>
    </row>
    <row r="13" spans="2:10" x14ac:dyDescent="0.25">
      <c r="C13" s="88" t="s">
        <v>160</v>
      </c>
      <c r="D13" s="94">
        <v>170000000</v>
      </c>
      <c r="F13" s="88" t="s">
        <v>160</v>
      </c>
      <c r="G13" s="94"/>
      <c r="I13" s="88" t="s">
        <v>160</v>
      </c>
      <c r="J13" s="94"/>
    </row>
    <row r="14" spans="2:10" x14ac:dyDescent="0.25">
      <c r="C14" s="95" t="s">
        <v>161</v>
      </c>
      <c r="D14" s="96">
        <v>50000000</v>
      </c>
      <c r="F14" s="95" t="s">
        <v>161</v>
      </c>
      <c r="G14" s="96"/>
      <c r="I14" s="95" t="s">
        <v>161</v>
      </c>
      <c r="J14" s="96"/>
    </row>
  </sheetData>
  <mergeCells count="3">
    <mergeCell ref="C6:D6"/>
    <mergeCell ref="F6:G6"/>
    <mergeCell ref="I6:J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infrastructure_projects">
                <anchor moveWithCells="1" sizeWithCells="1">
                  <from>
                    <xdr:col>3</xdr:col>
                    <xdr:colOff>257175</xdr:colOff>
                    <xdr:row>1</xdr:row>
                    <xdr:rowOff>180975</xdr:rowOff>
                  </from>
                  <to>
                    <xdr:col>4</xdr:col>
                    <xdr:colOff>180975</xdr:colOff>
                    <xdr:row>2</xdr:row>
                    <xdr:rowOff>438150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'Auxiliary sheet'!$F$2:$F$5</xm:f>
          </x14:formula1>
          <xm:sqref>J9 D9 G9</xm:sqref>
        </x14:dataValidation>
        <x14:dataValidation type="list" allowBlank="1" showInputMessage="1" showErrorMessage="1">
          <x14:formula1>
            <xm:f>'Auxiliary sheet'!$B$2:$B$9</xm:f>
          </x14:formula1>
          <xm:sqref>J8 D8 G8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"/>
  <dimension ref="A1:F33"/>
  <sheetViews>
    <sheetView workbookViewId="0">
      <selection activeCell="B13" sqref="B13"/>
    </sheetView>
  </sheetViews>
  <sheetFormatPr defaultRowHeight="15" x14ac:dyDescent="0.25"/>
  <cols>
    <col min="1" max="1" width="33.28515625" customWidth="1"/>
    <col min="2" max="2" width="42.5703125" customWidth="1"/>
    <col min="3" max="3" width="18.42578125" customWidth="1"/>
    <col min="4" max="4" width="40.5703125" customWidth="1"/>
    <col min="5" max="5" width="14" customWidth="1"/>
    <col min="6" max="6" width="40.7109375" customWidth="1"/>
  </cols>
  <sheetData>
    <row r="1" spans="1:6" x14ac:dyDescent="0.25">
      <c r="A1" t="s">
        <v>131</v>
      </c>
      <c r="B1" t="s">
        <v>93</v>
      </c>
      <c r="C1" t="s">
        <v>95</v>
      </c>
      <c r="D1" t="s">
        <v>130</v>
      </c>
      <c r="E1" t="s">
        <v>132</v>
      </c>
      <c r="F1" t="s">
        <v>152</v>
      </c>
    </row>
    <row r="2" spans="1:6" x14ac:dyDescent="0.25">
      <c r="A2" t="s">
        <v>89</v>
      </c>
      <c r="B2" t="s">
        <v>164</v>
      </c>
      <c r="D2" t="s">
        <v>164</v>
      </c>
      <c r="F2" t="s">
        <v>164</v>
      </c>
    </row>
    <row r="3" spans="1:6" x14ac:dyDescent="0.25">
      <c r="A3" t="s">
        <v>88</v>
      </c>
      <c r="B3" s="1" t="s">
        <v>18</v>
      </c>
      <c r="C3" t="s">
        <v>96</v>
      </c>
      <c r="D3" t="s">
        <v>137</v>
      </c>
      <c r="E3" t="s">
        <v>133</v>
      </c>
      <c r="F3" t="s">
        <v>153</v>
      </c>
    </row>
    <row r="4" spans="1:6" x14ac:dyDescent="0.25">
      <c r="A4" t="s">
        <v>87</v>
      </c>
      <c r="B4" s="1" t="s">
        <v>24</v>
      </c>
      <c r="C4" t="s">
        <v>97</v>
      </c>
      <c r="D4" t="s">
        <v>138</v>
      </c>
      <c r="E4" t="s">
        <v>121</v>
      </c>
      <c r="F4" t="s">
        <v>154</v>
      </c>
    </row>
    <row r="5" spans="1:6" x14ac:dyDescent="0.25">
      <c r="B5" s="1" t="s">
        <v>34</v>
      </c>
      <c r="C5" t="s">
        <v>98</v>
      </c>
      <c r="D5" t="s">
        <v>125</v>
      </c>
      <c r="F5" t="s">
        <v>155</v>
      </c>
    </row>
    <row r="6" spans="1:6" x14ac:dyDescent="0.25">
      <c r="B6" s="1" t="s">
        <v>36</v>
      </c>
      <c r="C6" t="s">
        <v>99</v>
      </c>
    </row>
    <row r="7" spans="1:6" x14ac:dyDescent="0.25">
      <c r="B7" s="1" t="s">
        <v>45</v>
      </c>
      <c r="C7" t="s">
        <v>100</v>
      </c>
    </row>
    <row r="8" spans="1:6" x14ac:dyDescent="0.25">
      <c r="B8" s="1" t="s">
        <v>52</v>
      </c>
      <c r="C8" t="s">
        <v>101</v>
      </c>
    </row>
    <row r="9" spans="1:6" x14ac:dyDescent="0.25">
      <c r="B9" s="1" t="s">
        <v>54</v>
      </c>
      <c r="C9" t="s">
        <v>102</v>
      </c>
    </row>
    <row r="10" spans="1:6" x14ac:dyDescent="0.25">
      <c r="B10" s="1"/>
      <c r="C10" t="s">
        <v>94</v>
      </c>
    </row>
    <row r="11" spans="1:6" x14ac:dyDescent="0.25">
      <c r="B11" s="1"/>
      <c r="C11" t="s">
        <v>103</v>
      </c>
    </row>
    <row r="12" spans="1:6" x14ac:dyDescent="0.25">
      <c r="B12" s="1"/>
      <c r="C12" t="s">
        <v>104</v>
      </c>
    </row>
    <row r="13" spans="1:6" x14ac:dyDescent="0.25">
      <c r="B13" s="1"/>
      <c r="C13" t="s">
        <v>105</v>
      </c>
    </row>
    <row r="14" spans="1:6" x14ac:dyDescent="0.25">
      <c r="B14" s="1"/>
      <c r="C14" t="s">
        <v>106</v>
      </c>
    </row>
    <row r="15" spans="1:6" x14ac:dyDescent="0.25">
      <c r="B15" s="1"/>
      <c r="C15" t="s">
        <v>104</v>
      </c>
    </row>
    <row r="16" spans="1:6" x14ac:dyDescent="0.25">
      <c r="B16" s="1"/>
    </row>
    <row r="17" spans="2:2" x14ac:dyDescent="0.25">
      <c r="B17" s="1"/>
    </row>
    <row r="18" spans="2:2" x14ac:dyDescent="0.25">
      <c r="B18" s="1"/>
    </row>
    <row r="19" spans="2:2" x14ac:dyDescent="0.25">
      <c r="B19" s="1"/>
    </row>
    <row r="20" spans="2:2" x14ac:dyDescent="0.25">
      <c r="B20" s="1"/>
    </row>
    <row r="21" spans="2:2" x14ac:dyDescent="0.25">
      <c r="B21" s="1"/>
    </row>
    <row r="22" spans="2:2" x14ac:dyDescent="0.25">
      <c r="B22" s="1"/>
    </row>
    <row r="23" spans="2:2" x14ac:dyDescent="0.25">
      <c r="B23" s="1"/>
    </row>
    <row r="24" spans="2:2" x14ac:dyDescent="0.25">
      <c r="B24" s="1"/>
    </row>
    <row r="25" spans="2:2" x14ac:dyDescent="0.25">
      <c r="B25" s="1"/>
    </row>
    <row r="26" spans="2:2" x14ac:dyDescent="0.25">
      <c r="B26" s="1"/>
    </row>
    <row r="27" spans="2:2" x14ac:dyDescent="0.25">
      <c r="B27" s="1"/>
    </row>
    <row r="28" spans="2:2" x14ac:dyDescent="0.25">
      <c r="B28" s="1"/>
    </row>
    <row r="29" spans="2:2" x14ac:dyDescent="0.25">
      <c r="B29" s="1"/>
    </row>
    <row r="30" spans="2:2" x14ac:dyDescent="0.25">
      <c r="B30" s="1"/>
    </row>
    <row r="31" spans="2:2" x14ac:dyDescent="0.25">
      <c r="B31" s="1"/>
    </row>
    <row r="32" spans="2:2" x14ac:dyDescent="0.25">
      <c r="B32" s="1"/>
    </row>
    <row r="33" spans="2:2" x14ac:dyDescent="0.25">
      <c r="B33" s="1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1"/>
  <dimension ref="A1:A32"/>
  <sheetViews>
    <sheetView workbookViewId="0"/>
  </sheetViews>
  <sheetFormatPr defaultRowHeight="15" x14ac:dyDescent="0.25"/>
  <sheetData>
    <row r="1" spans="1:1" x14ac:dyDescent="0.25">
      <c r="A1" t="s">
        <v>202</v>
      </c>
    </row>
    <row r="2" spans="1:1" x14ac:dyDescent="0.25">
      <c r="A2" t="s">
        <v>203</v>
      </c>
    </row>
    <row r="3" spans="1:1" x14ac:dyDescent="0.25">
      <c r="A3" t="s">
        <v>204</v>
      </c>
    </row>
    <row r="4" spans="1:1" x14ac:dyDescent="0.25">
      <c r="A4" t="s">
        <v>205</v>
      </c>
    </row>
    <row r="5" spans="1:1" x14ac:dyDescent="0.25">
      <c r="A5" t="s">
        <v>173</v>
      </c>
    </row>
    <row r="6" spans="1:1" x14ac:dyDescent="0.25">
      <c r="A6" t="s">
        <v>174</v>
      </c>
    </row>
    <row r="7" spans="1:1" x14ac:dyDescent="0.25">
      <c r="A7" t="s">
        <v>175</v>
      </c>
    </row>
    <row r="8" spans="1:1" x14ac:dyDescent="0.25">
      <c r="A8" t="s">
        <v>176</v>
      </c>
    </row>
    <row r="9" spans="1:1" x14ac:dyDescent="0.25">
      <c r="A9" t="s">
        <v>177</v>
      </c>
    </row>
    <row r="10" spans="1:1" x14ac:dyDescent="0.25">
      <c r="A10" t="s">
        <v>178</v>
      </c>
    </row>
    <row r="11" spans="1:1" x14ac:dyDescent="0.25">
      <c r="A11" t="s">
        <v>179</v>
      </c>
    </row>
    <row r="12" spans="1:1" x14ac:dyDescent="0.25">
      <c r="A12" t="s">
        <v>196</v>
      </c>
    </row>
    <row r="13" spans="1:1" x14ac:dyDescent="0.25">
      <c r="A13" t="s">
        <v>198</v>
      </c>
    </row>
    <row r="14" spans="1:1" x14ac:dyDescent="0.25">
      <c r="A14" t="s">
        <v>180</v>
      </c>
    </row>
    <row r="15" spans="1:1" x14ac:dyDescent="0.25">
      <c r="A15" t="s">
        <v>181</v>
      </c>
    </row>
    <row r="16" spans="1:1" x14ac:dyDescent="0.25">
      <c r="A16" t="s">
        <v>182</v>
      </c>
    </row>
    <row r="17" spans="1:1" x14ac:dyDescent="0.25">
      <c r="A17" t="s">
        <v>183</v>
      </c>
    </row>
    <row r="18" spans="1:1" x14ac:dyDescent="0.25">
      <c r="A18" t="s">
        <v>184</v>
      </c>
    </row>
    <row r="19" spans="1:1" x14ac:dyDescent="0.25">
      <c r="A19" t="s">
        <v>185</v>
      </c>
    </row>
    <row r="20" spans="1:1" x14ac:dyDescent="0.25">
      <c r="A20" t="s">
        <v>186</v>
      </c>
    </row>
    <row r="21" spans="1:1" x14ac:dyDescent="0.25">
      <c r="A21" t="s">
        <v>187</v>
      </c>
    </row>
    <row r="22" spans="1:1" x14ac:dyDescent="0.25">
      <c r="A22" t="s">
        <v>188</v>
      </c>
    </row>
    <row r="23" spans="1:1" x14ac:dyDescent="0.25">
      <c r="A23" t="s">
        <v>189</v>
      </c>
    </row>
    <row r="24" spans="1:1" x14ac:dyDescent="0.25">
      <c r="A24" t="s">
        <v>190</v>
      </c>
    </row>
    <row r="25" spans="1:1" x14ac:dyDescent="0.25">
      <c r="A25" t="s">
        <v>191</v>
      </c>
    </row>
    <row r="26" spans="1:1" x14ac:dyDescent="0.25">
      <c r="A26" t="s">
        <v>192</v>
      </c>
    </row>
    <row r="27" spans="1:1" x14ac:dyDescent="0.25">
      <c r="A27" t="s">
        <v>199</v>
      </c>
    </row>
    <row r="28" spans="1:1" x14ac:dyDescent="0.25">
      <c r="A28" t="s">
        <v>193</v>
      </c>
    </row>
    <row r="29" spans="1:1" x14ac:dyDescent="0.25">
      <c r="A29" t="s">
        <v>197</v>
      </c>
    </row>
    <row r="30" spans="1:1" x14ac:dyDescent="0.25">
      <c r="A30" t="s">
        <v>194</v>
      </c>
    </row>
    <row r="31" spans="1:1" x14ac:dyDescent="0.25">
      <c r="A31" t="s">
        <v>195</v>
      </c>
    </row>
    <row r="32" spans="1:1" x14ac:dyDescent="0.25">
      <c r="A32" t="s">
        <v>206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11</vt:i4>
      </vt:variant>
    </vt:vector>
  </HeadingPairs>
  <TitlesOfParts>
    <vt:vector size="11" baseType="lpstr">
      <vt:lpstr>Convert to csv</vt:lpstr>
      <vt:lpstr>DataAreas - analysis</vt:lpstr>
      <vt:lpstr>DataTerminals - current</vt:lpstr>
      <vt:lpstr>DataTerminals - analysis</vt:lpstr>
      <vt:lpstr>NewProject - Land issue</vt:lpstr>
      <vt:lpstr>xx</vt:lpstr>
      <vt:lpstr>New project - commercial</vt:lpstr>
      <vt:lpstr>NewProject - Commercial action</vt:lpstr>
      <vt:lpstr>New project - infrastructure</vt:lpstr>
      <vt:lpstr>Auxiliary sheet</vt:lpstr>
      <vt:lpstr>CSVSheet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Amber van Oel</dc:creator>
  <cp:lastModifiedBy>Amber van Oel</cp:lastModifiedBy>
  <dcterms:created xsi:type="dcterms:W3CDTF">2017-08-12T08:42:34Z</dcterms:created>
  <dcterms:modified xsi:type="dcterms:W3CDTF">2017-09-28T09:12:56Z</dcterms:modified>
</cp:coreProperties>
</file>